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ISO\ISO\2024執行中\ISO270012024Q1好點子\參考範例\表單範例\"/>
    </mc:Choice>
  </mc:AlternateContent>
  <xr:revisionPtr revIDLastSave="0" documentId="13_ncr:1_{81A0A8DE-5A8B-4562-BB04-37E6DB16765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資產及風險評鑑表" sheetId="1" r:id="rId1"/>
    <sheet name="類別" sheetId="5" r:id="rId2"/>
    <sheet name="威脅來源" sheetId="2" r:id="rId3"/>
    <sheet name="弱點來源" sheetId="3" r:id="rId4"/>
    <sheet name="評估等級表" sheetId="4" r:id="rId5"/>
  </sheets>
  <definedNames>
    <definedName name="_xlnm._FilterDatabase" localSheetId="0" hidden="1">資產及風險評鑑表!#REF!</definedName>
    <definedName name="人員類次類別">類別!$C$3:$C$8</definedName>
    <definedName name="人員類威脅">威脅來源!$A$2:$A$21</definedName>
    <definedName name="人員類威脅弱點">弱點來源!$A$2:$A$20</definedName>
    <definedName name="主類別">類別!$A$2:$A$7</definedName>
    <definedName name="軟體類次類別">類別!$F$3:$F$8</definedName>
    <definedName name="軟體類威脅">威脅來源!$C$2:$C$33</definedName>
    <definedName name="軟體類威脅弱點">弱點來源!$D$2:$D$17</definedName>
    <definedName name="通訊類次類別">類別!$E$3:$E$5</definedName>
    <definedName name="通訊類威脅">威脅來源!$E$2:$E$30</definedName>
    <definedName name="通訊類威脅弱點">弱點來源!$C$2:$C$21</definedName>
    <definedName name="硬體類次類別">類別!$G$3:$G$8</definedName>
    <definedName name="硬體類威脅">威脅來源!$D$2:$D$30</definedName>
    <definedName name="硬體類威脅弱點">弱點來源!$E$2:$E$30</definedName>
    <definedName name="資料類型">類別!$J$2:$J$5</definedName>
    <definedName name="資訊類次類別">類別!$D$3:$D$11</definedName>
    <definedName name="資訊類威脅">威脅來源!$B$2:$B$35</definedName>
    <definedName name="資訊類威脅弱點">弱點來源!$B$2:$B$27</definedName>
    <definedName name="資產類別">#REF!</definedName>
    <definedName name="環境類次類別">類別!$H$3:$H$10</definedName>
    <definedName name="環境類威脅">威脅來源!$F$2:$F$35</definedName>
    <definedName name="環境類威脅弱點">弱點來源!$F$2:$F$20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1" l="1"/>
  <c r="L22" i="1"/>
  <c r="L23" i="1"/>
  <c r="L24" i="1"/>
  <c r="L25" i="1"/>
  <c r="Y22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5" i="1"/>
  <c r="L6" i="1"/>
  <c r="Y6" i="1"/>
  <c r="L7" i="1"/>
  <c r="Y7" i="1"/>
  <c r="L8" i="1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G16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G15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G14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G13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G12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G11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G9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G8" i="4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20" i="1"/>
  <c r="AE21" i="1"/>
  <c r="AE5" i="1"/>
  <c r="Y8" i="1"/>
  <c r="Y9" i="1"/>
  <c r="Y10" i="1"/>
  <c r="Y11" i="1"/>
  <c r="Y12" i="1"/>
  <c r="Y13" i="1"/>
  <c r="Y14" i="1"/>
  <c r="Y15" i="1"/>
  <c r="Y16" i="1"/>
  <c r="Y17" i="1"/>
  <c r="Y18" i="1"/>
  <c r="Y20" i="1"/>
  <c r="Y21" i="1"/>
</calcChain>
</file>

<file path=xl/sharedStrings.xml><?xml version="1.0" encoding="utf-8"?>
<sst xmlns="http://schemas.openxmlformats.org/spreadsheetml/2006/main" count="602" uniqueCount="381">
  <si>
    <t>資產類別</t>
  </si>
  <si>
    <t>數量</t>
  </si>
  <si>
    <t>機密性</t>
  </si>
  <si>
    <t>完整性</t>
  </si>
  <si>
    <t>可用性</t>
  </si>
  <si>
    <t>中</t>
  </si>
  <si>
    <t>高</t>
  </si>
  <si>
    <t xml:space="preserve">脆弱等級 </t>
  </si>
  <si>
    <t>風險值</t>
  </si>
  <si>
    <t>威脅等級</t>
  </si>
  <si>
    <t>部門</t>
  </si>
  <si>
    <t>名稱</t>
    <phoneticPr fontId="0" type="noConversion"/>
  </si>
  <si>
    <t>資產說明</t>
    <phoneticPr fontId="0" type="noConversion"/>
  </si>
  <si>
    <t>管理者</t>
    <phoneticPr fontId="0" type="noConversion"/>
  </si>
  <si>
    <t>風險處理</t>
    <phoneticPr fontId="0" type="noConversion"/>
  </si>
  <si>
    <r>
      <rPr>
        <sz val="10"/>
        <rFont val="標楷體"/>
        <family val="4"/>
        <charset val="136"/>
      </rPr>
      <t>風險估計</t>
    </r>
  </si>
  <si>
    <r>
      <rPr>
        <sz val="10"/>
        <rFont val="標楷體"/>
        <family val="4"/>
        <charset val="136"/>
      </rPr>
      <t>威脅名稱</t>
    </r>
  </si>
  <si>
    <r>
      <rPr>
        <sz val="10"/>
        <rFont val="標楷體"/>
        <family val="4"/>
        <charset val="136"/>
      </rPr>
      <t>弱點名稱</t>
    </r>
  </si>
  <si>
    <t>價值
(P)</t>
    <phoneticPr fontId="0" type="noConversion"/>
  </si>
  <si>
    <t>電磁輻射</t>
  </si>
  <si>
    <t>風險再評鑑</t>
    <phoneticPr fontId="0" type="noConversion"/>
  </si>
  <si>
    <t>資產
編號</t>
    <phoneticPr fontId="0" type="noConversion"/>
  </si>
  <si>
    <t>承辦：</t>
    <phoneticPr fontId="0" type="noConversion"/>
  </si>
  <si>
    <t>審核：</t>
    <phoneticPr fontId="0" type="noConversion"/>
  </si>
  <si>
    <t>文件編號</t>
    <phoneticPr fontId="9" type="noConversion"/>
  </si>
  <si>
    <t>保密區分</t>
  </si>
  <si>
    <t xml:space="preserve">內部使用 </t>
  </si>
  <si>
    <t>版    次</t>
  </si>
  <si>
    <t>V1.0</t>
  </si>
  <si>
    <t>紀錄編號</t>
  </si>
  <si>
    <t>資產及風險評鑑表</t>
    <phoneticPr fontId="9" type="noConversion"/>
  </si>
  <si>
    <t>IS-004-01</t>
    <phoneticPr fontId="9" type="noConversion"/>
  </si>
  <si>
    <t>主類別</t>
    <phoneticPr fontId="0" type="noConversion"/>
  </si>
  <si>
    <t>次類別</t>
    <phoneticPr fontId="0" type="noConversion"/>
  </si>
  <si>
    <t>主類別</t>
    <phoneticPr fontId="16" type="noConversion"/>
  </si>
  <si>
    <t>次類別</t>
    <phoneticPr fontId="16" type="noConversion"/>
  </si>
  <si>
    <t>資料類型</t>
    <phoneticPr fontId="16" type="noConversion"/>
  </si>
  <si>
    <t>人員類</t>
    <phoneticPr fontId="16" type="noConversion"/>
  </si>
  <si>
    <t>人員類次類別</t>
    <phoneticPr fontId="9" type="noConversion"/>
  </si>
  <si>
    <t>資訊類次類別</t>
    <phoneticPr fontId="9" type="noConversion"/>
  </si>
  <si>
    <t>通訊類次類別</t>
    <phoneticPr fontId="16" type="noConversion"/>
  </si>
  <si>
    <t>軟體類次類別</t>
    <phoneticPr fontId="9" type="noConversion"/>
  </si>
  <si>
    <t>硬體類次類別</t>
    <phoneticPr fontId="9" type="noConversion"/>
  </si>
  <si>
    <t>環境類次類別</t>
    <phoneticPr fontId="9" type="noConversion"/>
  </si>
  <si>
    <t>資料庫</t>
    <phoneticPr fontId="16" type="noConversion"/>
  </si>
  <si>
    <t>資訊類</t>
    <phoneticPr fontId="16" type="noConversion"/>
  </si>
  <si>
    <t>一般主管及同仁</t>
    <phoneticPr fontId="9" type="noConversion"/>
  </si>
  <si>
    <t>程式源碼</t>
    <phoneticPr fontId="9" type="noConversion"/>
  </si>
  <si>
    <t>網路設備</t>
    <phoneticPr fontId="9" type="noConversion"/>
  </si>
  <si>
    <t>作業系統</t>
    <phoneticPr fontId="9" type="noConversion"/>
  </si>
  <si>
    <t>個人電腦</t>
    <phoneticPr fontId="9" type="noConversion"/>
  </si>
  <si>
    <t>一般辦公區域</t>
    <phoneticPr fontId="9" type="noConversion"/>
  </si>
  <si>
    <t>電子檔案</t>
    <phoneticPr fontId="16" type="noConversion"/>
  </si>
  <si>
    <t>軟體類</t>
    <phoneticPr fontId="16" type="noConversion"/>
  </si>
  <si>
    <t>資訊主管</t>
    <phoneticPr fontId="9" type="noConversion"/>
  </si>
  <si>
    <t>一般個人資料</t>
    <phoneticPr fontId="9" type="noConversion"/>
  </si>
  <si>
    <t>傳輸線路服務</t>
    <phoneticPr fontId="9" type="noConversion"/>
  </si>
  <si>
    <t>應用系統</t>
    <phoneticPr fontId="9" type="noConversion"/>
  </si>
  <si>
    <t>筆記型電腦</t>
    <phoneticPr fontId="9" type="noConversion"/>
  </si>
  <si>
    <t>特殊辦公區域</t>
    <phoneticPr fontId="9" type="noConversion"/>
  </si>
  <si>
    <t>紙本文件</t>
    <phoneticPr fontId="16" type="noConversion"/>
  </si>
  <si>
    <t>硬體類</t>
    <phoneticPr fontId="9" type="noConversion"/>
  </si>
  <si>
    <t>資訊人員</t>
    <phoneticPr fontId="9" type="noConversion"/>
  </si>
  <si>
    <t>特種個人資料</t>
    <phoneticPr fontId="9" type="noConversion"/>
  </si>
  <si>
    <t>其它通訊</t>
    <phoneticPr fontId="9" type="noConversion"/>
  </si>
  <si>
    <t>套裝軟體</t>
    <phoneticPr fontId="9" type="noConversion"/>
  </si>
  <si>
    <t>伺服器</t>
    <phoneticPr fontId="9" type="noConversion"/>
  </si>
  <si>
    <t>資訊機房</t>
    <phoneticPr fontId="9" type="noConversion"/>
  </si>
  <si>
    <t>紙本及電子檔</t>
    <phoneticPr fontId="9" type="noConversion"/>
  </si>
  <si>
    <t>資安人員</t>
    <phoneticPr fontId="9" type="noConversion"/>
  </si>
  <si>
    <t>營業秘密</t>
    <phoneticPr fontId="9" type="noConversion"/>
  </si>
  <si>
    <t>軟體開發工具</t>
    <phoneticPr fontId="9" type="noConversion"/>
  </si>
  <si>
    <t>可攜式儲存媒體</t>
    <phoneticPr fontId="9" type="noConversion"/>
  </si>
  <si>
    <t>電力設備</t>
    <phoneticPr fontId="9" type="noConversion"/>
  </si>
  <si>
    <t>環境類</t>
    <phoneticPr fontId="9" type="noConversion"/>
  </si>
  <si>
    <t>委外廠商人員</t>
    <phoneticPr fontId="9" type="noConversion"/>
  </si>
  <si>
    <t>客戶一般資料</t>
    <phoneticPr fontId="9" type="noConversion"/>
  </si>
  <si>
    <t>雲端服務</t>
    <phoneticPr fontId="9" type="noConversion"/>
  </si>
  <si>
    <t>電腦保護設施</t>
    <phoneticPr fontId="9" type="noConversion"/>
  </si>
  <si>
    <t>消防設施</t>
    <phoneticPr fontId="9" type="noConversion"/>
  </si>
  <si>
    <t>其它人員類</t>
    <phoneticPr fontId="9" type="noConversion"/>
  </si>
  <si>
    <t>客戶機敏性資料</t>
    <phoneticPr fontId="9" type="noConversion"/>
  </si>
  <si>
    <t>其它軟體</t>
    <phoneticPr fontId="9" type="noConversion"/>
  </si>
  <si>
    <t>其他硬體</t>
    <phoneticPr fontId="9" type="noConversion"/>
  </si>
  <si>
    <t>倉庫</t>
    <phoneticPr fontId="9" type="noConversion"/>
  </si>
  <si>
    <t>日誌</t>
    <phoneticPr fontId="9" type="noConversion"/>
  </si>
  <si>
    <t>建築保護設施</t>
    <phoneticPr fontId="9" type="noConversion"/>
  </si>
  <si>
    <t>數位金鑰</t>
    <phoneticPr fontId="9" type="noConversion"/>
  </si>
  <si>
    <t>其它環境</t>
    <phoneticPr fontId="9" type="noConversion"/>
  </si>
  <si>
    <t>其它資訊</t>
    <phoneticPr fontId="9" type="noConversion"/>
  </si>
  <si>
    <t>組態管理</t>
    <phoneticPr fontId="0" type="noConversion"/>
  </si>
  <si>
    <t>組態檔版本及日期</t>
    <phoneticPr fontId="0" type="noConversion"/>
  </si>
  <si>
    <t>組態檔儲存位置</t>
    <phoneticPr fontId="0" type="noConversion"/>
  </si>
  <si>
    <t>資料管理</t>
    <phoneticPr fontId="16" type="noConversion"/>
  </si>
  <si>
    <t>資料儲存位置</t>
    <phoneticPr fontId="16" type="noConversion"/>
  </si>
  <si>
    <t>安全要求</t>
    <phoneticPr fontId="16" type="noConversion"/>
  </si>
  <si>
    <t>資料儲存期限</t>
    <phoneticPr fontId="16" type="noConversion"/>
  </si>
  <si>
    <t>銷毀週期</t>
    <phoneticPr fontId="16" type="noConversion"/>
  </si>
  <si>
    <r>
      <rPr>
        <sz val="10"/>
        <rFont val="標楷體"/>
        <family val="4"/>
        <charset val="136"/>
      </rPr>
      <t>等級</t>
    </r>
    <r>
      <rPr>
        <sz val="10"/>
        <rFont val="Arial"/>
        <family val="2"/>
      </rPr>
      <t>(T)</t>
    </r>
    <phoneticPr fontId="9" type="noConversion"/>
  </si>
  <si>
    <r>
      <rPr>
        <sz val="10"/>
        <rFont val="標楷體"/>
        <family val="4"/>
        <charset val="136"/>
      </rPr>
      <t>等級</t>
    </r>
    <r>
      <rPr>
        <sz val="10"/>
        <rFont val="Arial"/>
        <family val="2"/>
      </rPr>
      <t>(V)</t>
    </r>
    <phoneticPr fontId="0" type="noConversion"/>
  </si>
  <si>
    <t>威脅</t>
    <phoneticPr fontId="9" type="noConversion"/>
  </si>
  <si>
    <t>弱點</t>
    <phoneticPr fontId="9" type="noConversion"/>
  </si>
  <si>
    <t>人員類威脅</t>
    <phoneticPr fontId="15" type="noConversion"/>
  </si>
  <si>
    <t>資訊類威脅</t>
    <phoneticPr fontId="15" type="noConversion"/>
  </si>
  <si>
    <t>軟體類威脅</t>
    <phoneticPr fontId="15" type="noConversion"/>
  </si>
  <si>
    <t>硬體類威脅</t>
    <phoneticPr fontId="15" type="noConversion"/>
  </si>
  <si>
    <t>通訊類威脅</t>
    <phoneticPr fontId="15" type="noConversion"/>
  </si>
  <si>
    <t>火災</t>
  </si>
  <si>
    <t>通信設備故障</t>
  </si>
  <si>
    <t>水災</t>
  </si>
  <si>
    <t>資訊媒體處置或報廢</t>
  </si>
  <si>
    <t>污染</t>
  </si>
  <si>
    <t>不可信來源的資料</t>
  </si>
  <si>
    <t>重大安全事故</t>
  </si>
  <si>
    <t>軟體欺詐複製</t>
  </si>
  <si>
    <t>駭客、 破密高手</t>
  </si>
  <si>
    <t>資料損毀</t>
  </si>
  <si>
    <t>恐怖分子</t>
  </si>
  <si>
    <t>非法處理資料</t>
  </si>
  <si>
    <t>內部員工（劣質訓練、不滿、惡意、疏忽、被解雇）</t>
  </si>
  <si>
    <t>擅自使用設備</t>
  </si>
  <si>
    <t>使用中的錯誤</t>
  </si>
  <si>
    <t>空調或供水失能</t>
  </si>
  <si>
    <t>濫用職權</t>
  </si>
  <si>
    <t>電力喪失</t>
  </si>
  <si>
    <t>使用偽造或盜版軟體</t>
  </si>
  <si>
    <t>職權偽造</t>
  </si>
  <si>
    <t>資訊或訊號截取</t>
  </si>
  <si>
    <t>遠端監控偵收</t>
  </si>
  <si>
    <t>資訊犯罪</t>
  </si>
  <si>
    <t>竊取媒體或文件</t>
  </si>
  <si>
    <t>盜竊設備</t>
  </si>
  <si>
    <t>工商業業間諜活動</t>
  </si>
  <si>
    <t>資訊洩露</t>
  </si>
  <si>
    <t>硬體篡改</t>
  </si>
  <si>
    <t>破壞人員可用性</t>
  </si>
  <si>
    <t>軟體系統篡改</t>
  </si>
  <si>
    <t>軟體或系統失效</t>
  </si>
  <si>
    <t>未確保資訊系統的維護</t>
  </si>
  <si>
    <t>設備或媒體毀壞</t>
  </si>
  <si>
    <t>設備失效</t>
  </si>
  <si>
    <t>設備故障</t>
  </si>
  <si>
    <t>內部員工（劣質訓練、不滿、惡意、疏忽、被解雇）</t>
    <phoneticPr fontId="15" type="noConversion"/>
  </si>
  <si>
    <t>資訊系統的容量飽和</t>
  </si>
  <si>
    <t>熱輻射</t>
  </si>
  <si>
    <t>電磁脈衝</t>
  </si>
  <si>
    <t>竊聽</t>
  </si>
  <si>
    <t>灰塵、腐蝕</t>
  </si>
  <si>
    <t>否認行為</t>
  </si>
  <si>
    <t>內部員工（惡意、被解雇）</t>
    <phoneticPr fontId="15" type="noConversion"/>
  </si>
  <si>
    <t>人員類威脅弱點</t>
    <phoneticPr fontId="15" type="noConversion"/>
  </si>
  <si>
    <t>資訊類威脅弱點</t>
    <phoneticPr fontId="15" type="noConversion"/>
  </si>
  <si>
    <t>通訊類威脅弱點</t>
    <phoneticPr fontId="15" type="noConversion"/>
  </si>
  <si>
    <t>軟體類威脅弱點</t>
    <phoneticPr fontId="15" type="noConversion"/>
  </si>
  <si>
    <t>硬體類威脅弱點</t>
    <phoneticPr fontId="15" type="noConversion"/>
  </si>
  <si>
    <t>環境類威脅弱點</t>
    <phoneticPr fontId="15" type="noConversion"/>
  </si>
  <si>
    <t>未有適切保密協議簽署</t>
  </si>
  <si>
    <t>未有適切文件及紀錄之管控</t>
  </si>
  <si>
    <t>不足的維護或儲存媒體錯誤的安裝</t>
  </si>
  <si>
    <t>未有適切備援拷貝</t>
  </si>
  <si>
    <t>地勢過低，易有水患</t>
  </si>
  <si>
    <t>未適切訂定新進人員招募要求</t>
  </si>
  <si>
    <t>未有適切實體保護</t>
  </si>
  <si>
    <t>未有適切使用軟體及〔或〕硬體</t>
  </si>
  <si>
    <t>未有適切有效變更控制</t>
  </si>
  <si>
    <t>未有適切設備維護保養服務</t>
  </si>
  <si>
    <t>未有適切代理人機制</t>
  </si>
  <si>
    <t>未有適切的服務維護</t>
  </si>
  <si>
    <t>繁複的使用者介面</t>
  </si>
  <si>
    <t>未有適切外來（清潔）人員工作監督</t>
  </si>
  <si>
    <t>未建立代理人能力要求</t>
  </si>
  <si>
    <t>未有適切加密機制</t>
  </si>
  <si>
    <t>未有適切的網路管理</t>
  </si>
  <si>
    <t>未有適切的存取控制</t>
  </si>
  <si>
    <t>未有適切或疏於使用實體進出管制</t>
  </si>
  <si>
    <t>未有適切人員離職管制</t>
  </si>
  <si>
    <t>攜帶方便、易被拷貝</t>
  </si>
  <si>
    <t>未保護公眾網路連線</t>
  </si>
  <si>
    <t>未有適切稽核軌跡紀錄</t>
  </si>
  <si>
    <t>未有適切有效的建構變更控制</t>
  </si>
  <si>
    <t>未有適切的實體邊界規劃維護</t>
    <phoneticPr fontId="15" type="noConversion"/>
  </si>
  <si>
    <t>未適切監督委外或清潔人員工作</t>
  </si>
  <si>
    <t>未有適切稽核軌跡紀錄保護</t>
  </si>
  <si>
    <t>未保護敏感性資訊流</t>
  </si>
  <si>
    <t>未有適切監控〔monitoring〕機制</t>
  </si>
  <si>
    <t>未有適切溫溼度管控</t>
    <phoneticPr fontId="15" type="noConversion"/>
  </si>
  <si>
    <t>適乏對人員使用通訊媒體和訊息管理政策</t>
  </si>
  <si>
    <t>未有適切稽核軌跡紀錄處理</t>
  </si>
  <si>
    <t>未保護通行碼資料表</t>
  </si>
  <si>
    <t>未有適切識別及鑑別機制〔如使用者鑑別〕</t>
  </si>
  <si>
    <t>未有適切的電源配置</t>
  </si>
  <si>
    <t>未有適切門禁管制</t>
  </si>
  <si>
    <t>未正確使用軟體和硬體</t>
  </si>
  <si>
    <t>未有適切文件保護管制</t>
  </si>
  <si>
    <t>未控制通訊線路</t>
  </si>
  <si>
    <t>未有適切發送端與接收端識別及鑑別機制</t>
  </si>
  <si>
    <t>未有適切的備份機制</t>
  </si>
  <si>
    <t>未有適切資產管制</t>
  </si>
  <si>
    <t>未有適切權限註冊和註銷管理程序</t>
  </si>
  <si>
    <t>未有適切儲存媒體保護</t>
  </si>
  <si>
    <t>離開工作站沒有登出〔Logout〕</t>
  </si>
  <si>
    <t>未有適切的備援機制</t>
  </si>
  <si>
    <t>未有適切監控管制</t>
  </si>
  <si>
    <t>未有適切權限註冊和註銷使用程序</t>
  </si>
  <si>
    <t>未有適切桌面浄空與畫面保護政策</t>
  </si>
  <si>
    <t>沒有或不足的軟體測試</t>
  </si>
  <si>
    <t>未有適切的資產處置或報廢管理</t>
  </si>
  <si>
    <t>未有適切的消防設施</t>
  </si>
  <si>
    <t>未有適切權限變更審查程序</t>
  </si>
  <si>
    <t>未有適切儲存媒體處置或報廢管制</t>
  </si>
  <si>
    <t>不良的通行碼〔password〕管理</t>
  </si>
  <si>
    <t>存在有單點失效〔Single point of failure〕</t>
  </si>
  <si>
    <t>未有適切的營運持續性規劃</t>
  </si>
  <si>
    <t>未對客戶或第三方人員提供適切權限</t>
  </si>
  <si>
    <t>未有適切失效文件處置或報廢管制</t>
  </si>
  <si>
    <t>通行碼以明碼傳送</t>
  </si>
  <si>
    <t>未有適切的容量配置</t>
  </si>
  <si>
    <t>未有適切的電力（電源）管理</t>
  </si>
  <si>
    <t>未有適切監督機制</t>
  </si>
  <si>
    <t>未有適切資訊複製管控</t>
  </si>
  <si>
    <t>不明確或不完整的開發規格</t>
  </si>
  <si>
    <t>未有適切的作業系統</t>
  </si>
  <si>
    <t>未有適切的環境監控規劃管理</t>
  </si>
  <si>
    <t>未依程序處理文件化資訊或資訊資產</t>
  </si>
  <si>
    <t>未有適切資訊分級</t>
  </si>
  <si>
    <t>軟體的已知缺陷</t>
  </si>
  <si>
    <t>未有適切的特權管理</t>
  </si>
  <si>
    <t>不足或錯誤的操作知識</t>
  </si>
  <si>
    <t>未有適切機敏資訊處理程序</t>
  </si>
  <si>
    <t>未有適切測試資料選用管制</t>
  </si>
  <si>
    <t>未有適切的惡意程式防護</t>
  </si>
  <si>
    <t>未有適切的維護商管理</t>
  </si>
  <si>
    <t>未有適切警示、監控機制</t>
  </si>
  <si>
    <t>未在工作職掌中明確訂定資安責任</t>
  </si>
  <si>
    <t>未有適切加密金鑰使用或保護</t>
  </si>
  <si>
    <t>未有適切安全性開發管理</t>
  </si>
  <si>
    <t>不斷電系統容量不足</t>
  </si>
  <si>
    <t>未有適切桌面和螢幕淨空政策</t>
  </si>
  <si>
    <t>未有適切資料輸入輸出檢查管制</t>
  </si>
  <si>
    <t>單點失效〔Single point of failure〕</t>
  </si>
  <si>
    <t>未有適切稽核軌跡</t>
  </si>
  <si>
    <t>超出使用年限</t>
  </si>
  <si>
    <t>未有適切對資安弱點報告機制</t>
  </si>
  <si>
    <t>未有適切軟體的下載與使用管制</t>
  </si>
  <si>
    <t>未有適切的電力（電壓）提供</t>
  </si>
  <si>
    <t>未有適切的保養服務維護</t>
  </si>
  <si>
    <t>未有適切工作上專業領域技能</t>
  </si>
  <si>
    <t>未有適切機密敏感性傳輸管制</t>
  </si>
  <si>
    <t>未有適切的存取管控</t>
  </si>
  <si>
    <t>未有適切備援拷貝管制</t>
  </si>
  <si>
    <t>未有適切定期進行備份回復測試</t>
  </si>
  <si>
    <t>未有適切的傳輸政策</t>
  </si>
  <si>
    <t>未有適切的資產攜出入管制</t>
  </si>
  <si>
    <t>備份回復程序不完整</t>
  </si>
  <si>
    <t>未有適切的系統更新機制</t>
  </si>
  <si>
    <t>未有適切行動電腦的保護機制</t>
  </si>
  <si>
    <t>未有適切的資訊資料保護</t>
  </si>
  <si>
    <t>未定期檢查使用者作業權限〔存取權限設定錯誤〕</t>
  </si>
  <si>
    <t>未有適切的網路連線</t>
  </si>
  <si>
    <t>未定期檢視監控錄影系統</t>
  </si>
  <si>
    <t>未有適切的資產責任律定</t>
  </si>
  <si>
    <t>未有適切對資料處理的驗證</t>
  </si>
  <si>
    <t>人員離開座位時未登出或鎖定保護</t>
  </si>
  <si>
    <t>未有適切的加密機制</t>
  </si>
  <si>
    <t>未有適切的通行碼〔password〕管理</t>
  </si>
  <si>
    <t>對電壓變化敏感</t>
  </si>
  <si>
    <t>未有適切定期替換計畫〔schemes〕</t>
    <phoneticPr fontId="15" type="noConversion"/>
  </si>
  <si>
    <t>威脅發生機率評估標準</t>
  </si>
  <si>
    <t>風險矩陣</t>
    <phoneticPr fontId="15" type="noConversion"/>
  </si>
  <si>
    <t>評估標準</t>
  </si>
  <si>
    <t>等級</t>
  </si>
  <si>
    <t>評估值</t>
  </si>
  <si>
    <t>每年至少發生一次之可能性</t>
  </si>
  <si>
    <t>低</t>
  </si>
  <si>
    <t>每季至少發生一次之可能性</t>
  </si>
  <si>
    <t>每月至少發生一次之可能性</t>
  </si>
  <si>
    <t>威脅值</t>
    <phoneticPr fontId="15" type="noConversion"/>
  </si>
  <si>
    <t>弱點值</t>
    <phoneticPr fontId="15" type="noConversion"/>
  </si>
  <si>
    <t>弱點等級評估標準</t>
    <phoneticPr fontId="15" type="noConversion"/>
  </si>
  <si>
    <t>衝擊值</t>
    <phoneticPr fontId="15" type="noConversion"/>
  </si>
  <si>
    <t>該弱點不容易被威脅利用</t>
  </si>
  <si>
    <t>該弱點容易被威脅利用</t>
  </si>
  <si>
    <t>該弱點非常容易被威脅利用</t>
  </si>
  <si>
    <t>衝擊等級評估標準</t>
    <phoneticPr fontId="15" type="noConversion"/>
  </si>
  <si>
    <t>輕微</t>
  </si>
  <si>
    <r>
      <t>3</t>
    </r>
    <r>
      <rPr>
        <sz val="12"/>
        <rFont val="標楷體"/>
        <family val="4"/>
        <charset val="136"/>
      </rPr>
      <t>、個人即可進行修復</t>
    </r>
  </si>
  <si>
    <r>
      <t>4</t>
    </r>
    <r>
      <rPr>
        <sz val="12"/>
        <rFont val="標楷體"/>
        <family val="4"/>
        <charset val="136"/>
      </rPr>
      <t>、修復或進行復原的措施可以在很短時間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例：</t>
    </r>
    <r>
      <rPr>
        <sz val="12"/>
        <rFont val="Times New Roman"/>
        <family val="1"/>
      </rPr>
      <t>4</t>
    </r>
    <r>
      <rPr>
        <sz val="12"/>
        <rFont val="標楷體"/>
        <family val="4"/>
        <charset val="136"/>
      </rPr>
      <t>小時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內完成</t>
    </r>
    <phoneticPr fontId="15" type="noConversion"/>
  </si>
  <si>
    <r>
      <t>1</t>
    </r>
    <r>
      <rPr>
        <sz val="12"/>
        <rFont val="標楷體"/>
        <family val="4"/>
        <charset val="136"/>
      </rPr>
      <t>、對於公司整體業務執行造成損害</t>
    </r>
  </si>
  <si>
    <t>中度</t>
  </si>
  <si>
    <r>
      <t>2</t>
    </r>
    <r>
      <rPr>
        <sz val="12"/>
        <rFont val="標楷體"/>
        <family val="4"/>
        <charset val="136"/>
      </rPr>
      <t>、造成的損失可能影響多種業務或數個系統</t>
    </r>
  </si>
  <si>
    <r>
      <t>3</t>
    </r>
    <r>
      <rPr>
        <sz val="12"/>
        <rFont val="標楷體"/>
        <family val="4"/>
        <charset val="136"/>
      </rPr>
      <t>、損害範圍可能影響多個部門或合作夥伴</t>
    </r>
  </si>
  <si>
    <r>
      <t>4</t>
    </r>
    <r>
      <rPr>
        <sz val="12"/>
        <rFont val="標楷體"/>
        <family val="4"/>
        <charset val="136"/>
      </rPr>
      <t>、復原的措施必須由專業人員才能進行</t>
    </r>
  </si>
  <si>
    <r>
      <t>5</t>
    </r>
    <r>
      <rPr>
        <sz val="12"/>
        <rFont val="標楷體"/>
        <family val="4"/>
        <charset val="136"/>
      </rPr>
      <t>、復原可能要數個小時</t>
    </r>
    <r>
      <rPr>
        <sz val="12"/>
        <rFont val="Times New Roman"/>
        <family val="1"/>
      </rPr>
      <t>~</t>
    </r>
    <r>
      <rPr>
        <sz val="12"/>
        <rFont val="標楷體"/>
        <family val="4"/>
        <charset val="136"/>
      </rPr>
      <t>到一天才能完成</t>
    </r>
  </si>
  <si>
    <r>
      <t>1</t>
    </r>
    <r>
      <rPr>
        <sz val="12"/>
        <rFont val="標楷體"/>
        <family val="4"/>
        <charset val="136"/>
      </rPr>
      <t>、對公司整體業務執行造成嚴重損害</t>
    </r>
    <r>
      <rPr>
        <sz val="12"/>
        <rFont val="Times New Roman"/>
        <family val="1"/>
      </rPr>
      <t>;</t>
    </r>
  </si>
  <si>
    <t>嚴重</t>
  </si>
  <si>
    <r>
      <t>2</t>
    </r>
    <r>
      <rPr>
        <sz val="12"/>
        <rFont val="標楷體"/>
        <family val="4"/>
        <charset val="136"/>
      </rPr>
      <t>、事件處理不當可能對公司形象造成損害</t>
    </r>
    <r>
      <rPr>
        <sz val="12"/>
        <rFont val="Times New Roman"/>
        <family val="1"/>
      </rPr>
      <t>;</t>
    </r>
  </si>
  <si>
    <r>
      <t>3</t>
    </r>
    <r>
      <rPr>
        <sz val="12"/>
        <rFont val="標楷體"/>
        <family val="4"/>
        <charset val="136"/>
      </rPr>
      <t>、造成的損害範圍可能影響全公司</t>
    </r>
    <r>
      <rPr>
        <sz val="12"/>
        <rFont val="Times New Roman"/>
        <family val="1"/>
      </rPr>
      <t>;</t>
    </r>
  </si>
  <si>
    <r>
      <t>4</t>
    </r>
    <r>
      <rPr>
        <sz val="12"/>
        <rFont val="標楷體"/>
        <family val="4"/>
        <charset val="136"/>
      </rPr>
      <t>、系統或相關服務停頓或癱瘓</t>
    </r>
    <r>
      <rPr>
        <sz val="12"/>
        <rFont val="Times New Roman"/>
        <family val="1"/>
      </rPr>
      <t>,</t>
    </r>
    <r>
      <rPr>
        <sz val="12"/>
        <rFont val="標楷體"/>
        <family val="4"/>
        <charset val="136"/>
      </rPr>
      <t>業務無法運作</t>
    </r>
    <r>
      <rPr>
        <sz val="12"/>
        <rFont val="Times New Roman"/>
        <family val="1"/>
      </rPr>
      <t>;</t>
    </r>
  </si>
  <si>
    <r>
      <t>5</t>
    </r>
    <r>
      <rPr>
        <sz val="12"/>
        <rFont val="標楷體"/>
        <family val="4"/>
        <charset val="136"/>
      </rPr>
      <t>、合作夥伴或客戶失去信心</t>
    </r>
    <r>
      <rPr>
        <sz val="12"/>
        <rFont val="Times New Roman"/>
        <family val="1"/>
      </rPr>
      <t>;</t>
    </r>
  </si>
  <si>
    <r>
      <t>6</t>
    </r>
    <r>
      <rPr>
        <sz val="12"/>
        <rFont val="標楷體"/>
        <family val="4"/>
        <charset val="136"/>
      </rPr>
      <t>、復原措施僅能由特定專業人員才能進行或修復人員不易取得</t>
    </r>
    <r>
      <rPr>
        <sz val="12"/>
        <rFont val="Times New Roman"/>
        <family val="1"/>
      </rPr>
      <t>;</t>
    </r>
    <phoneticPr fontId="15" type="noConversion"/>
  </si>
  <si>
    <r>
      <t>7</t>
    </r>
    <r>
      <rPr>
        <sz val="12"/>
        <rFont val="標楷體"/>
        <family val="4"/>
        <charset val="136"/>
      </rPr>
      <t>、可能造成人員傷亡</t>
    </r>
  </si>
  <si>
    <r>
      <t>1</t>
    </r>
    <r>
      <rPr>
        <sz val="12"/>
        <rFont val="標楷體"/>
        <family val="4"/>
        <charset val="136"/>
      </rPr>
      <t>、對於公司整體業務執行影響不大或可忽略</t>
    </r>
    <phoneticPr fontId="3" type="noConversion"/>
  </si>
  <si>
    <t>2、造成危害可能僅影響單一業務或系統，或可以迅速復原</t>
    <phoneticPr fontId="3" type="noConversion"/>
  </si>
  <si>
    <t>1～3</t>
    <phoneticPr fontId="15" type="noConversion"/>
  </si>
  <si>
    <t>小計</t>
    <phoneticPr fontId="15" type="noConversion"/>
  </si>
  <si>
    <t>資產價值</t>
    <phoneticPr fontId="15" type="noConversion"/>
  </si>
  <si>
    <t>衝擊</t>
    <phoneticPr fontId="0" type="noConversion"/>
  </si>
  <si>
    <t>衝擊等級</t>
    <phoneticPr fontId="0" type="noConversion"/>
  </si>
  <si>
    <t>環境類威脅</t>
    <phoneticPr fontId="15" type="noConversion"/>
  </si>
  <si>
    <t>等級(I)</t>
    <phoneticPr fontId="0" type="noConversion"/>
  </si>
  <si>
    <t>風險值
(P*T*V*I)</t>
    <phoneticPr fontId="9" type="noConversion"/>
  </si>
  <si>
    <t>資產價值</t>
    <phoneticPr fontId="0" type="noConversion"/>
  </si>
  <si>
    <t>通訊類</t>
    <phoneticPr fontId="16" type="noConversion"/>
  </si>
  <si>
    <t>總經理</t>
    <phoneticPr fontId="16" type="noConversion"/>
  </si>
  <si>
    <t>總經理室</t>
    <phoneticPr fontId="0" type="noConversion"/>
  </si>
  <si>
    <t xml:space="preserve">張OO </t>
    <phoneticPr fontId="16" type="noConversion"/>
  </si>
  <si>
    <t>捷元TP158電腦主機
 [192.168.0.XXX]</t>
    <phoneticPr fontId="16" type="noConversion"/>
  </si>
  <si>
    <t>Windows 2012程式開發測試機</t>
    <phoneticPr fontId="16" type="noConversion"/>
  </si>
  <si>
    <t>專案部</t>
    <phoneticPr fontId="16" type="noConversion"/>
  </si>
  <si>
    <t>李OO</t>
    <phoneticPr fontId="16" type="noConversion"/>
  </si>
  <si>
    <t>華碩電腦主機
[192.168.0.XXX]</t>
    <phoneticPr fontId="16" type="noConversion"/>
  </si>
  <si>
    <t>Centos 6 Git Server</t>
    <phoneticPr fontId="16" type="noConversion"/>
  </si>
  <si>
    <t xml:space="preserve">李OO </t>
    <phoneticPr fontId="16" type="noConversion"/>
  </si>
  <si>
    <t>資訊類</t>
  </si>
  <si>
    <t>人員類</t>
  </si>
  <si>
    <t>一般主管及同仁</t>
  </si>
  <si>
    <t>硬體類</t>
  </si>
  <si>
    <t>伺服器</t>
  </si>
  <si>
    <t>XX系統程式碼</t>
    <phoneticPr fontId="0" type="noConversion"/>
  </si>
  <si>
    <t>XX系統(PHP)</t>
    <phoneticPr fontId="0" type="noConversion"/>
  </si>
  <si>
    <t>客戶機敏性資料</t>
  </si>
  <si>
    <t>NAS/TP158image</t>
    <phoneticPr fontId="0" type="noConversion"/>
  </si>
  <si>
    <t>NAS/GIT</t>
    <phoneticPr fontId="0" type="noConversion"/>
  </si>
  <si>
    <t>Git</t>
    <phoneticPr fontId="0" type="noConversion"/>
  </si>
  <si>
    <t>帳號密碼管制存取</t>
    <phoneticPr fontId="0" type="noConversion"/>
  </si>
  <si>
    <t>系統停止使用</t>
    <phoneticPr fontId="0" type="noConversion"/>
  </si>
  <si>
    <t>停止使用後三年</t>
    <phoneticPr fontId="0" type="noConversion"/>
  </si>
  <si>
    <t>使用HASH保護原始碼</t>
    <phoneticPr fontId="0" type="noConversion"/>
  </si>
  <si>
    <t>20XX-001</t>
    <phoneticPr fontId="0" type="noConversion"/>
  </si>
  <si>
    <t>個人電腦</t>
  </si>
  <si>
    <t>主管電腦</t>
    <phoneticPr fontId="0" type="noConversion"/>
  </si>
  <si>
    <t>一般同仁電腦</t>
    <phoneticPr fontId="0" type="noConversion"/>
  </si>
  <si>
    <t>資訊人員電腦</t>
    <phoneticPr fontId="0" type="noConversion"/>
  </si>
  <si>
    <t>研發人員電腦</t>
    <phoneticPr fontId="0" type="noConversion"/>
  </si>
  <si>
    <t>A</t>
    <phoneticPr fontId="0" type="noConversion"/>
  </si>
  <si>
    <t>筆記型電腦(APPLE)</t>
    <phoneticPr fontId="0" type="noConversion"/>
  </si>
  <si>
    <t>資料伺服器</t>
    <phoneticPr fontId="0" type="noConversion"/>
  </si>
  <si>
    <t>QNAP(TS-473A)</t>
    <phoneticPr fontId="0" type="noConversion"/>
  </si>
  <si>
    <t>QNAP(TVS-872XT)</t>
    <phoneticPr fontId="0" type="noConversion"/>
  </si>
  <si>
    <t>QNAP(TVS-671)</t>
    <phoneticPr fontId="0" type="noConversion"/>
  </si>
  <si>
    <t>檔案伺服器資料_備份</t>
    <phoneticPr fontId="0" type="noConversion"/>
  </si>
  <si>
    <t>檔案伺服器資料_業務</t>
    <phoneticPr fontId="0" type="noConversion"/>
  </si>
  <si>
    <t>檔案伺服器資料_設計</t>
    <phoneticPr fontId="0" type="noConversion"/>
  </si>
  <si>
    <t>其它資訊</t>
  </si>
  <si>
    <t>營業秘密</t>
  </si>
  <si>
    <t>NETGEAR  RAX200</t>
    <phoneticPr fontId="0" type="noConversion"/>
  </si>
  <si>
    <t>NETGEAR WAX620 (AP01)</t>
    <phoneticPr fontId="0" type="noConversion"/>
  </si>
  <si>
    <t>NETGEAR WAX610 (AP02)</t>
    <phoneticPr fontId="0" type="noConversion"/>
  </si>
  <si>
    <t>NETGEAR WAX620 (AP03)</t>
    <phoneticPr fontId="0" type="noConversion"/>
  </si>
  <si>
    <t>IP分享器</t>
    <phoneticPr fontId="0" type="noConversion"/>
  </si>
  <si>
    <t>WIFI</t>
    <phoneticPr fontId="0" type="noConversion"/>
  </si>
  <si>
    <t>軟體類</t>
  </si>
  <si>
    <t>雲端服務</t>
  </si>
  <si>
    <t>通訊類</t>
  </si>
  <si>
    <t>網路設備</t>
  </si>
  <si>
    <t>Kirin</t>
    <phoneticPr fontId="0" type="noConversion"/>
  </si>
  <si>
    <t>雲端伺服器 主機</t>
    <phoneticPr fontId="0" type="noConversion"/>
  </si>
  <si>
    <t>雲端 VM</t>
    <phoneticPr fontId="0" type="noConversion"/>
  </si>
  <si>
    <t>應用系統</t>
  </si>
  <si>
    <t>作業系統</t>
  </si>
  <si>
    <t>Kirin 主程式</t>
    <phoneticPr fontId="0" type="noConversion"/>
  </si>
  <si>
    <t>Kirin 資料庫_資料</t>
    <phoneticPr fontId="0" type="noConversion"/>
  </si>
  <si>
    <t>window server 2022</t>
    <phoneticPr fontId="0" type="noConversion"/>
  </si>
  <si>
    <t>程式源碼</t>
  </si>
  <si>
    <t>Kirin 主程式碼</t>
    <phoneticPr fontId="0" type="noConversion"/>
  </si>
  <si>
    <t>主要設備環境</t>
    <phoneticPr fontId="0" type="noConversion"/>
  </si>
  <si>
    <t>辦公環境</t>
    <phoneticPr fontId="0" type="noConversion"/>
  </si>
  <si>
    <t>環境類</t>
  </si>
  <si>
    <t>一般辦公區域</t>
  </si>
  <si>
    <t>其它環境</t>
  </si>
  <si>
    <t>紙本及電子檔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</si>
</sst>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2" x14ac:knownFonts="1"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0"/>
      <color indexed="8"/>
      <name val="Arial"/>
      <family val="2"/>
    </font>
    <font>
      <b/>
      <sz val="10"/>
      <name val="標楷體"/>
      <family val="4"/>
      <charset val="136"/>
    </font>
    <font>
      <sz val="1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name val="Arial"/>
      <family val="4"/>
      <charset val="136"/>
    </font>
    <font>
      <sz val="12"/>
      <name val="新細明體"/>
      <family val="1"/>
      <charset val="136"/>
    </font>
    <font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0"/>
      <color indexed="10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0"/>
      <color indexed="8"/>
      <name val="標楷體"/>
      <family val="4"/>
      <charset val="136"/>
    </font>
    <font>
      <sz val="12"/>
      <color rgb="FFC00000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FF0000"/>
      <name val="標楷體"/>
      <family val="4"/>
      <charset val="136"/>
    </font>
    <font>
      <sz val="12"/>
      <color theme="5"/>
      <name val="微軟正黑體"/>
      <family val="2"/>
      <charset val="136"/>
    </font>
    <font>
      <sz val="12"/>
      <color theme="5"/>
      <name val="標楷體"/>
      <family val="4"/>
      <charset val="136"/>
    </font>
    <font>
      <sz val="12"/>
      <color theme="1"/>
      <name val="Arial"/>
      <family val="2"/>
    </font>
    <font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6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細明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52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5">
    <xf numFmtId="0" fontId="0" fillId="0" borderId="0"/>
    <xf numFmtId="41" fontId="2" fillId="0" borderId="0" applyFon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" fillId="0" borderId="0">
      <alignment vertical="center"/>
    </xf>
  </cellStyleXfs>
  <cellXfs count="131">
    <xf numFmtId="0" fontId="0" fillId="0" borderId="0" xfId="0"/>
    <xf numFmtId="0" fontId="6" fillId="0" borderId="0" xfId="0" applyFont="1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 vertical="center" shrinkToFi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2" fillId="4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2" fillId="5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8" fillId="0" borderId="3" xfId="2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 wrapText="1"/>
    </xf>
    <xf numFmtId="0" fontId="8" fillId="5" borderId="3" xfId="3" applyFont="1" applyFill="1" applyBorder="1" applyAlignment="1">
      <alignment horizontal="center" vertical="center" wrapText="1"/>
    </xf>
    <xf numFmtId="0" fontId="19" fillId="0" borderId="0" xfId="4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 shrinkToFit="1"/>
    </xf>
    <xf numFmtId="0" fontId="22" fillId="0" borderId="0" xfId="4" applyFont="1">
      <alignment vertical="center"/>
    </xf>
    <xf numFmtId="0" fontId="20" fillId="0" borderId="0" xfId="4" applyFont="1" applyAlignment="1">
      <alignment vertical="center" wrapText="1"/>
    </xf>
    <xf numFmtId="0" fontId="21" fillId="0" borderId="0" xfId="4" applyFont="1" applyAlignment="1">
      <alignment vertical="center" wrapText="1"/>
    </xf>
    <xf numFmtId="0" fontId="12" fillId="0" borderId="0" xfId="4" applyFont="1">
      <alignment vertical="center"/>
    </xf>
    <xf numFmtId="0" fontId="12" fillId="0" borderId="0" xfId="4" applyFont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9" fillId="0" borderId="0" xfId="4" applyFont="1">
      <alignment vertical="center"/>
    </xf>
    <xf numFmtId="0" fontId="21" fillId="0" borderId="0" xfId="4" applyFont="1">
      <alignment vertical="center"/>
    </xf>
    <xf numFmtId="0" fontId="20" fillId="0" borderId="0" xfId="4" applyFo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6" fillId="8" borderId="4" xfId="0" applyFont="1" applyFill="1" applyBorder="1" applyAlignment="1">
      <alignment horizontal="center" vertical="center" wrapText="1"/>
    </xf>
    <xf numFmtId="0" fontId="26" fillId="8" borderId="5" xfId="0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vertical="center" wrapText="1"/>
    </xf>
    <xf numFmtId="0" fontId="28" fillId="0" borderId="6" xfId="0" applyFont="1" applyBorder="1" applyAlignment="1">
      <alignment vertical="center" wrapText="1"/>
    </xf>
    <xf numFmtId="0" fontId="28" fillId="0" borderId="12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center" wrapText="1"/>
    </xf>
    <xf numFmtId="0" fontId="8" fillId="0" borderId="3" xfId="0" applyFont="1" applyBorder="1" applyAlignment="1">
      <alignment wrapText="1"/>
    </xf>
    <xf numFmtId="41" fontId="8" fillId="0" borderId="3" xfId="1" applyFont="1" applyFill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left" vertical="center" wrapText="1"/>
    </xf>
    <xf numFmtId="0" fontId="21" fillId="11" borderId="21" xfId="0" applyFont="1" applyFill="1" applyBorder="1" applyAlignment="1">
      <alignment horizontal="center" vertical="center"/>
    </xf>
    <xf numFmtId="0" fontId="21" fillId="11" borderId="23" xfId="0" applyFont="1" applyFill="1" applyBorder="1" applyAlignment="1">
      <alignment horizontal="center" vertical="center"/>
    </xf>
    <xf numFmtId="0" fontId="30" fillId="0" borderId="24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wrapText="1"/>
    </xf>
    <xf numFmtId="0" fontId="8" fillId="3" borderId="0" xfId="0" applyFont="1" applyFill="1" applyBorder="1" applyAlignment="1">
      <alignment horizontal="left" vertical="center" wrapText="1"/>
    </xf>
    <xf numFmtId="0" fontId="31" fillId="0" borderId="0" xfId="0" applyFont="1" applyAlignment="1">
      <alignment wrapText="1"/>
    </xf>
    <xf numFmtId="0" fontId="8" fillId="11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5" borderId="3" xfId="3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 wrapText="1"/>
    </xf>
    <xf numFmtId="0" fontId="8" fillId="10" borderId="22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49" fontId="18" fillId="2" borderId="3" xfId="0" applyNumberFormat="1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</cellXfs>
  <cellStyles count="5">
    <cellStyle name="0,0_x000d__x000a_NA_x000d__x000a_" xfId="2" xr:uid="{43AB9512-445A-43A6-B7F2-97FBE678B38C}"/>
    <cellStyle name="一般" xfId="0" builtinId="0"/>
    <cellStyle name="一般 3" xfId="4" xr:uid="{A65E8465-D723-491D-8B13-DAD76DC79196}"/>
    <cellStyle name="一般_Sheet1" xfId="3" xr:uid="{663E4E79-9EFB-498C-A227-496FF008BD73}"/>
    <cellStyle name="千分位[0]" xfId="1" builtinId="6"/>
  </cellStyles>
  <dxfs count="3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AE36"/>
  <sheetViews>
    <sheetView tabSelected="1" view="pageBreakPreview" topLeftCell="A16" zoomScale="90" zoomScaleNormal="90" zoomScaleSheetLayoutView="90" workbookViewId="0">
      <selection activeCell="F26" sqref="F26"/>
    </sheetView>
  </sheetViews>
  <sheetFormatPr defaultColWidth="8.796875" defaultRowHeight="12.75" x14ac:dyDescent="0.35"/>
  <cols>
    <col min="2" max="2" width="17.19921875" customWidth="1"/>
    <col min="3" max="3" width="23.19921875" style="1" customWidth="1"/>
    <col min="4" max="4" width="5.19921875" style="10" customWidth="1"/>
    <col min="5" max="5" width="9.19921875" style="10" customWidth="1"/>
    <col min="6" max="6" width="9.46484375" customWidth="1"/>
    <col min="7" max="7" width="9.19921875" customWidth="1"/>
    <col min="8" max="8" width="7" customWidth="1"/>
    <col min="9" max="12" width="6.19921875" customWidth="1"/>
    <col min="13" max="13" width="16.19921875" customWidth="1"/>
    <col min="14" max="14" width="16" bestFit="1" customWidth="1"/>
    <col min="15" max="15" width="13.796875" bestFit="1" customWidth="1"/>
    <col min="16" max="17" width="9.46484375" bestFit="1" customWidth="1"/>
    <col min="18" max="18" width="13.796875" bestFit="1" customWidth="1"/>
    <col min="19" max="19" width="9.46484375" bestFit="1" customWidth="1"/>
    <col min="20" max="20" width="19.46484375" customWidth="1"/>
    <col min="21" max="21" width="7.46484375" customWidth="1"/>
    <col min="22" max="22" width="18.46484375" customWidth="1"/>
    <col min="23" max="24" width="7.53125" customWidth="1"/>
    <col min="25" max="25" width="10" customWidth="1"/>
    <col min="26" max="27" width="13" customWidth="1"/>
  </cols>
  <sheetData>
    <row r="1" spans="1:31" s="11" customFormat="1" ht="20.25" customHeight="1" x14ac:dyDescent="0.35">
      <c r="A1" s="100" t="s">
        <v>24</v>
      </c>
      <c r="B1" s="100"/>
      <c r="C1" s="18" t="s">
        <v>31</v>
      </c>
      <c r="D1" s="101" t="s">
        <v>30</v>
      </c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2"/>
      <c r="Y1" s="101"/>
      <c r="Z1" s="100" t="s">
        <v>25</v>
      </c>
      <c r="AA1" s="105"/>
      <c r="AB1" s="100"/>
      <c r="AC1" s="103" t="s">
        <v>26</v>
      </c>
      <c r="AD1" s="104"/>
      <c r="AE1" s="103"/>
    </row>
    <row r="2" spans="1:31" s="11" customFormat="1" ht="20.25" customHeight="1" x14ac:dyDescent="0.35">
      <c r="A2" s="100" t="s">
        <v>27</v>
      </c>
      <c r="B2" s="100"/>
      <c r="C2" s="18" t="s">
        <v>28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2"/>
      <c r="Y2" s="101"/>
      <c r="Z2" s="100" t="s">
        <v>29</v>
      </c>
      <c r="AA2" s="105"/>
      <c r="AB2" s="100"/>
      <c r="AC2" s="103" t="s">
        <v>338</v>
      </c>
      <c r="AD2" s="104"/>
      <c r="AE2" s="103"/>
    </row>
    <row r="3" spans="1:31" s="7" customFormat="1" ht="15.6" customHeight="1" x14ac:dyDescent="0.35">
      <c r="A3" s="97" t="s">
        <v>21</v>
      </c>
      <c r="B3" s="97" t="s">
        <v>11</v>
      </c>
      <c r="C3" s="109" t="s">
        <v>12</v>
      </c>
      <c r="D3" s="97" t="s">
        <v>1</v>
      </c>
      <c r="E3" s="97" t="s">
        <v>0</v>
      </c>
      <c r="F3" s="97"/>
      <c r="G3" s="97" t="s">
        <v>10</v>
      </c>
      <c r="H3" s="97" t="s">
        <v>13</v>
      </c>
      <c r="I3" s="97" t="s">
        <v>2</v>
      </c>
      <c r="J3" s="97" t="s">
        <v>3</v>
      </c>
      <c r="K3" s="97" t="s">
        <v>4</v>
      </c>
      <c r="L3" s="97" t="s">
        <v>18</v>
      </c>
      <c r="M3" s="98" t="s">
        <v>90</v>
      </c>
      <c r="N3" s="98"/>
      <c r="O3" s="99" t="s">
        <v>93</v>
      </c>
      <c r="P3" s="99"/>
      <c r="Q3" s="99"/>
      <c r="R3" s="99"/>
      <c r="S3" s="99"/>
      <c r="T3" s="95" t="s">
        <v>100</v>
      </c>
      <c r="U3" s="96"/>
      <c r="V3" s="95" t="s">
        <v>101</v>
      </c>
      <c r="W3" s="96"/>
      <c r="X3" s="67" t="s">
        <v>306</v>
      </c>
      <c r="Y3" s="61" t="s">
        <v>15</v>
      </c>
      <c r="Z3" s="110" t="s">
        <v>14</v>
      </c>
      <c r="AA3" s="106" t="s">
        <v>20</v>
      </c>
      <c r="AB3" s="107"/>
      <c r="AC3" s="107"/>
      <c r="AD3" s="107"/>
      <c r="AE3" s="108"/>
    </row>
    <row r="4" spans="1:31" s="7" customFormat="1" ht="25.35" customHeight="1" x14ac:dyDescent="0.35">
      <c r="A4" s="97"/>
      <c r="B4" s="97"/>
      <c r="C4" s="109"/>
      <c r="D4" s="97"/>
      <c r="E4" s="21" t="s">
        <v>32</v>
      </c>
      <c r="F4" s="23" t="s">
        <v>33</v>
      </c>
      <c r="G4" s="97"/>
      <c r="H4" s="97"/>
      <c r="I4" s="97"/>
      <c r="J4" s="97"/>
      <c r="K4" s="97"/>
      <c r="L4" s="97"/>
      <c r="M4" s="22" t="s">
        <v>91</v>
      </c>
      <c r="N4" s="22" t="s">
        <v>92</v>
      </c>
      <c r="O4" s="24" t="s">
        <v>94</v>
      </c>
      <c r="P4" s="24" t="s">
        <v>36</v>
      </c>
      <c r="Q4" s="24" t="s">
        <v>95</v>
      </c>
      <c r="R4" s="24" t="s">
        <v>96</v>
      </c>
      <c r="S4" s="24" t="s">
        <v>97</v>
      </c>
      <c r="T4" s="62" t="s">
        <v>16</v>
      </c>
      <c r="U4" s="63" t="s">
        <v>98</v>
      </c>
      <c r="V4" s="62" t="s">
        <v>17</v>
      </c>
      <c r="W4" s="63" t="s">
        <v>99</v>
      </c>
      <c r="X4" s="68" t="s">
        <v>309</v>
      </c>
      <c r="Y4" s="64" t="s">
        <v>310</v>
      </c>
      <c r="Z4" s="110"/>
      <c r="AA4" s="66" t="s">
        <v>311</v>
      </c>
      <c r="AB4" s="65" t="s">
        <v>9</v>
      </c>
      <c r="AC4" s="65" t="s">
        <v>7</v>
      </c>
      <c r="AD4" s="66" t="s">
        <v>307</v>
      </c>
      <c r="AE4" s="65" t="s">
        <v>8</v>
      </c>
    </row>
    <row r="5" spans="1:31" s="12" customFormat="1" ht="27.75" x14ac:dyDescent="0.4">
      <c r="A5" s="19"/>
      <c r="B5" s="70" t="s">
        <v>313</v>
      </c>
      <c r="C5" s="71"/>
      <c r="D5" s="72">
        <v>1</v>
      </c>
      <c r="E5" s="13" t="s">
        <v>324</v>
      </c>
      <c r="F5" s="13" t="s">
        <v>325</v>
      </c>
      <c r="G5" s="13" t="s">
        <v>314</v>
      </c>
      <c r="H5" s="74" t="s">
        <v>315</v>
      </c>
      <c r="I5" s="73">
        <v>3</v>
      </c>
      <c r="J5" s="73">
        <v>1</v>
      </c>
      <c r="K5" s="73">
        <v>1</v>
      </c>
      <c r="L5" s="73">
        <f t="shared" ref="L5:L25" si="0">SUM(I5:K5)</f>
        <v>5</v>
      </c>
      <c r="M5" s="13"/>
      <c r="N5" s="13"/>
      <c r="O5" s="13"/>
      <c r="P5" s="13"/>
      <c r="Q5" s="13"/>
      <c r="R5" s="13"/>
      <c r="S5" s="13"/>
      <c r="T5" s="13" t="s">
        <v>116</v>
      </c>
      <c r="U5" s="13">
        <v>3</v>
      </c>
      <c r="V5" s="13" t="s">
        <v>192</v>
      </c>
      <c r="W5" s="13">
        <v>3</v>
      </c>
      <c r="X5" s="60">
        <v>3</v>
      </c>
      <c r="Y5" s="69">
        <f>IF(L5*U5*W5*X5=0,"",L5*U5*W5*X5)</f>
        <v>135</v>
      </c>
      <c r="Z5" s="13"/>
      <c r="AA5" s="60">
        <v>5</v>
      </c>
      <c r="AB5" s="13">
        <v>1</v>
      </c>
      <c r="AC5" s="13">
        <v>1</v>
      </c>
      <c r="AD5" s="60">
        <v>1</v>
      </c>
      <c r="AE5" s="69">
        <f>IF(AA5*AB5*AC5*AD5=0,"",AA5*AB5*AC5*AD5)</f>
        <v>5</v>
      </c>
    </row>
    <row r="6" spans="1:31" s="12" customFormat="1" ht="27.75" x14ac:dyDescent="0.4">
      <c r="A6" s="19"/>
      <c r="B6" s="75" t="s">
        <v>316</v>
      </c>
      <c r="C6" s="75" t="s">
        <v>317</v>
      </c>
      <c r="D6" s="72">
        <v>2</v>
      </c>
      <c r="E6" s="13" t="s">
        <v>326</v>
      </c>
      <c r="F6" s="13" t="s">
        <v>339</v>
      </c>
      <c r="G6" s="13" t="s">
        <v>318</v>
      </c>
      <c r="H6" s="74" t="s">
        <v>319</v>
      </c>
      <c r="I6" s="73">
        <v>1</v>
      </c>
      <c r="J6" s="73">
        <v>2</v>
      </c>
      <c r="K6" s="73">
        <v>3</v>
      </c>
      <c r="L6" s="73">
        <f t="shared" si="0"/>
        <v>6</v>
      </c>
      <c r="M6" s="76">
        <v>44257</v>
      </c>
      <c r="N6" s="13" t="s">
        <v>331</v>
      </c>
      <c r="O6" s="13"/>
      <c r="P6" s="13"/>
      <c r="Q6" s="13"/>
      <c r="R6" s="13"/>
      <c r="S6" s="13"/>
      <c r="T6" s="13" t="s">
        <v>140</v>
      </c>
      <c r="U6" s="13">
        <v>1</v>
      </c>
      <c r="V6" s="13" t="s">
        <v>201</v>
      </c>
      <c r="W6" s="13">
        <v>2</v>
      </c>
      <c r="X6" s="60">
        <v>3</v>
      </c>
      <c r="Y6" s="69">
        <f t="shared" ref="Y6:Y22" si="1">IF(L6*U6*W6*X6=0,"",L6*U6*W6*X6)</f>
        <v>36</v>
      </c>
      <c r="Z6" s="13"/>
      <c r="AA6" s="60"/>
      <c r="AB6" s="13"/>
      <c r="AC6" s="13"/>
      <c r="AD6" s="60"/>
      <c r="AE6" s="69" t="str">
        <f t="shared" ref="AE6:AE21" si="2">IF(AA6*AB6*AC6*AD6=0,"",AA6*AB6*AC6*AD6)</f>
        <v/>
      </c>
    </row>
    <row r="7" spans="1:31" s="12" customFormat="1" ht="27.75" x14ac:dyDescent="0.4">
      <c r="A7" s="19"/>
      <c r="B7" s="75" t="s">
        <v>320</v>
      </c>
      <c r="C7" s="75" t="s">
        <v>321</v>
      </c>
      <c r="D7" s="72">
        <v>1</v>
      </c>
      <c r="E7" s="13" t="s">
        <v>326</v>
      </c>
      <c r="F7" s="13" t="s">
        <v>327</v>
      </c>
      <c r="G7" s="13" t="s">
        <v>318</v>
      </c>
      <c r="H7" s="74" t="s">
        <v>322</v>
      </c>
      <c r="I7" s="73">
        <v>1</v>
      </c>
      <c r="J7" s="73">
        <v>2</v>
      </c>
      <c r="K7" s="73">
        <v>3</v>
      </c>
      <c r="L7" s="73">
        <f t="shared" si="0"/>
        <v>6</v>
      </c>
      <c r="M7" s="76">
        <v>44318</v>
      </c>
      <c r="N7" s="13" t="s">
        <v>332</v>
      </c>
      <c r="O7" s="13"/>
      <c r="P7" s="13"/>
      <c r="Q7" s="13"/>
      <c r="R7" s="13"/>
      <c r="S7" s="13"/>
      <c r="T7" s="13" t="s">
        <v>124</v>
      </c>
      <c r="U7" s="13">
        <v>2</v>
      </c>
      <c r="V7" s="13" t="s">
        <v>190</v>
      </c>
      <c r="W7" s="13">
        <v>2</v>
      </c>
      <c r="X7" s="60">
        <v>3</v>
      </c>
      <c r="Y7" s="69">
        <f t="shared" si="1"/>
        <v>72</v>
      </c>
      <c r="Z7" s="13"/>
      <c r="AA7" s="60"/>
      <c r="AB7" s="13"/>
      <c r="AC7" s="13"/>
      <c r="AD7" s="60"/>
      <c r="AE7" s="69" t="str">
        <f t="shared" si="2"/>
        <v/>
      </c>
    </row>
    <row r="8" spans="1:31" s="12" customFormat="1" ht="27.75" x14ac:dyDescent="0.4">
      <c r="A8" s="19"/>
      <c r="B8" s="19" t="s">
        <v>328</v>
      </c>
      <c r="C8" s="13" t="s">
        <v>329</v>
      </c>
      <c r="D8" s="13">
        <v>1</v>
      </c>
      <c r="E8" s="13" t="s">
        <v>323</v>
      </c>
      <c r="F8" s="13" t="s">
        <v>330</v>
      </c>
      <c r="G8" s="13" t="s">
        <v>318</v>
      </c>
      <c r="H8" s="74" t="s">
        <v>322</v>
      </c>
      <c r="I8" s="13">
        <v>3</v>
      </c>
      <c r="J8" s="13">
        <v>3</v>
      </c>
      <c r="K8" s="13">
        <v>3</v>
      </c>
      <c r="L8" s="73">
        <f t="shared" si="0"/>
        <v>9</v>
      </c>
      <c r="M8" s="76"/>
      <c r="N8" s="13"/>
      <c r="O8" s="13" t="s">
        <v>333</v>
      </c>
      <c r="P8" s="13" t="s">
        <v>380</v>
      </c>
      <c r="Q8" s="13" t="s">
        <v>334</v>
      </c>
      <c r="R8" s="13" t="s">
        <v>335</v>
      </c>
      <c r="S8" s="13" t="s">
        <v>336</v>
      </c>
      <c r="T8" s="13" t="s">
        <v>112</v>
      </c>
      <c r="U8" s="13">
        <v>3</v>
      </c>
      <c r="V8" s="13" t="s">
        <v>182</v>
      </c>
      <c r="W8" s="13">
        <v>3</v>
      </c>
      <c r="X8" s="60">
        <v>3</v>
      </c>
      <c r="Y8" s="69">
        <f t="shared" si="1"/>
        <v>243</v>
      </c>
      <c r="Z8" s="13" t="s">
        <v>337</v>
      </c>
      <c r="AA8" s="60">
        <v>9</v>
      </c>
      <c r="AB8" s="13">
        <v>1</v>
      </c>
      <c r="AC8" s="13">
        <v>1</v>
      </c>
      <c r="AD8" s="60">
        <v>3</v>
      </c>
      <c r="AE8" s="69">
        <f t="shared" si="2"/>
        <v>27</v>
      </c>
    </row>
    <row r="9" spans="1:31" s="12" customFormat="1" ht="13.9" x14ac:dyDescent="0.4">
      <c r="A9" s="13"/>
      <c r="B9" s="13"/>
      <c r="C9" s="13"/>
      <c r="D9" s="13"/>
      <c r="E9" s="13" t="s">
        <v>324</v>
      </c>
      <c r="F9" s="13"/>
      <c r="G9" s="13"/>
      <c r="H9" s="13"/>
      <c r="I9" s="13"/>
      <c r="J9" s="13"/>
      <c r="K9" s="13"/>
      <c r="L9" s="73">
        <f t="shared" si="0"/>
        <v>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60"/>
      <c r="Y9" s="69" t="str">
        <f t="shared" si="1"/>
        <v/>
      </c>
      <c r="Z9" s="13"/>
      <c r="AA9" s="60"/>
      <c r="AB9" s="13"/>
      <c r="AC9" s="13"/>
      <c r="AD9" s="60"/>
      <c r="AE9" s="69" t="str">
        <f t="shared" si="2"/>
        <v/>
      </c>
    </row>
    <row r="10" spans="1:31" s="12" customFormat="1" ht="13.9" x14ac:dyDescent="0.4">
      <c r="A10" s="13"/>
      <c r="B10" s="13"/>
      <c r="C10" s="13"/>
      <c r="D10" s="13"/>
      <c r="E10" s="13" t="s">
        <v>363</v>
      </c>
      <c r="F10" s="13" t="s">
        <v>364</v>
      </c>
      <c r="G10" s="13"/>
      <c r="H10" s="13"/>
      <c r="I10" s="13"/>
      <c r="J10" s="13"/>
      <c r="K10" s="20"/>
      <c r="L10" s="73">
        <f t="shared" si="0"/>
        <v>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60"/>
      <c r="Y10" s="69" t="str">
        <f t="shared" si="1"/>
        <v/>
      </c>
      <c r="Z10" s="13"/>
      <c r="AA10" s="60"/>
      <c r="AB10" s="13"/>
      <c r="AC10" s="13"/>
      <c r="AD10" s="60"/>
      <c r="AE10" s="69" t="str">
        <f t="shared" si="2"/>
        <v/>
      </c>
    </row>
    <row r="11" spans="1:31" s="12" customFormat="1" ht="13.9" x14ac:dyDescent="0.4">
      <c r="A11" s="13" t="s">
        <v>344</v>
      </c>
      <c r="B11" s="13" t="s">
        <v>345</v>
      </c>
      <c r="C11" s="13" t="s">
        <v>340</v>
      </c>
      <c r="D11" s="13">
        <v>3</v>
      </c>
      <c r="E11" s="13" t="s">
        <v>326</v>
      </c>
      <c r="F11" s="13"/>
      <c r="G11" s="13"/>
      <c r="H11" s="13"/>
      <c r="I11" s="13"/>
      <c r="J11" s="13"/>
      <c r="K11" s="20"/>
      <c r="L11" s="73">
        <f t="shared" si="0"/>
        <v>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60"/>
      <c r="Y11" s="69" t="str">
        <f t="shared" si="1"/>
        <v/>
      </c>
      <c r="Z11" s="13"/>
      <c r="AA11" s="60"/>
      <c r="AB11" s="13"/>
      <c r="AC11" s="13"/>
      <c r="AD11" s="60"/>
      <c r="AE11" s="69" t="str">
        <f t="shared" si="2"/>
        <v/>
      </c>
    </row>
    <row r="12" spans="1:31" s="12" customFormat="1" ht="13.9" x14ac:dyDescent="0.4">
      <c r="A12" s="13"/>
      <c r="B12" s="13" t="s">
        <v>345</v>
      </c>
      <c r="C12" s="13" t="s">
        <v>341</v>
      </c>
      <c r="D12" s="13">
        <v>14</v>
      </c>
      <c r="E12" s="13"/>
      <c r="F12" s="13"/>
      <c r="G12" s="13"/>
      <c r="H12" s="13"/>
      <c r="I12" s="13"/>
      <c r="J12" s="13"/>
      <c r="K12" s="13"/>
      <c r="L12" s="73">
        <f t="shared" si="0"/>
        <v>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60"/>
      <c r="Y12" s="69" t="str">
        <f t="shared" si="1"/>
        <v/>
      </c>
      <c r="Z12" s="13"/>
      <c r="AA12" s="60"/>
      <c r="AB12" s="13"/>
      <c r="AC12" s="13"/>
      <c r="AD12" s="60"/>
      <c r="AE12" s="69" t="str">
        <f t="shared" si="2"/>
        <v/>
      </c>
    </row>
    <row r="13" spans="1:31" s="12" customFormat="1" ht="13.9" x14ac:dyDescent="0.4">
      <c r="A13" s="13"/>
      <c r="B13" s="13" t="s">
        <v>345</v>
      </c>
      <c r="C13" s="13" t="s">
        <v>342</v>
      </c>
      <c r="D13" s="13">
        <v>12</v>
      </c>
      <c r="E13" s="13"/>
      <c r="F13" s="13"/>
      <c r="G13" s="13"/>
      <c r="H13" s="13"/>
      <c r="I13" s="13"/>
      <c r="J13" s="13"/>
      <c r="K13" s="13"/>
      <c r="L13" s="73">
        <f t="shared" si="0"/>
        <v>0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60"/>
      <c r="Y13" s="69" t="str">
        <f t="shared" si="1"/>
        <v/>
      </c>
      <c r="Z13" s="13"/>
      <c r="AA13" s="60"/>
      <c r="AB13" s="13"/>
      <c r="AC13" s="13"/>
      <c r="AD13" s="60"/>
      <c r="AE13" s="69" t="str">
        <f t="shared" si="2"/>
        <v/>
      </c>
    </row>
    <row r="14" spans="1:31" s="12" customFormat="1" ht="13.9" x14ac:dyDescent="0.4">
      <c r="A14" s="13"/>
      <c r="B14" s="13" t="s">
        <v>345</v>
      </c>
      <c r="C14" s="13" t="s">
        <v>343</v>
      </c>
      <c r="D14" s="13">
        <v>12</v>
      </c>
      <c r="E14" s="13"/>
      <c r="F14" s="13"/>
      <c r="G14" s="13"/>
      <c r="H14" s="13"/>
      <c r="I14" s="13"/>
      <c r="J14" s="13"/>
      <c r="K14" s="13"/>
      <c r="L14" s="73">
        <f t="shared" si="0"/>
        <v>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60"/>
      <c r="Y14" s="69" t="str">
        <f t="shared" si="1"/>
        <v/>
      </c>
      <c r="Z14" s="13"/>
      <c r="AA14" s="60"/>
      <c r="AB14" s="13"/>
      <c r="AC14" s="13"/>
      <c r="AD14" s="60"/>
      <c r="AE14" s="69" t="str">
        <f t="shared" si="2"/>
        <v/>
      </c>
    </row>
    <row r="15" spans="1:31" s="12" customFormat="1" ht="13.9" x14ac:dyDescent="0.4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73">
        <f t="shared" si="0"/>
        <v>0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60"/>
      <c r="Y15" s="69" t="str">
        <f t="shared" si="1"/>
        <v/>
      </c>
      <c r="Z15" s="13"/>
      <c r="AA15" s="60"/>
      <c r="AB15" s="13"/>
      <c r="AC15" s="13"/>
      <c r="AD15" s="60"/>
      <c r="AE15" s="69" t="str">
        <f t="shared" si="2"/>
        <v/>
      </c>
    </row>
    <row r="16" spans="1:31" s="12" customFormat="1" ht="13.9" x14ac:dyDescent="0.4">
      <c r="A16" s="13"/>
      <c r="B16" s="94" t="s">
        <v>347</v>
      </c>
      <c r="C16" s="13" t="s">
        <v>346</v>
      </c>
      <c r="D16" s="13">
        <v>1</v>
      </c>
      <c r="E16" s="13" t="s">
        <v>326</v>
      </c>
      <c r="F16" s="13" t="s">
        <v>327</v>
      </c>
      <c r="G16" s="13"/>
      <c r="H16" s="13"/>
      <c r="I16" s="13">
        <v>2</v>
      </c>
      <c r="J16" s="13">
        <v>2</v>
      </c>
      <c r="K16" s="13">
        <v>2</v>
      </c>
      <c r="L16" s="73">
        <f t="shared" si="0"/>
        <v>6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60"/>
      <c r="Y16" s="69" t="str">
        <f t="shared" si="1"/>
        <v/>
      </c>
      <c r="Z16" s="13"/>
      <c r="AA16" s="60"/>
      <c r="AB16" s="13"/>
      <c r="AC16" s="13"/>
      <c r="AD16" s="60"/>
      <c r="AE16" s="69" t="str">
        <f t="shared" si="2"/>
        <v/>
      </c>
    </row>
    <row r="17" spans="1:31" s="12" customFormat="1" ht="13.9" x14ac:dyDescent="0.4">
      <c r="A17" s="13"/>
      <c r="B17" s="13" t="s">
        <v>348</v>
      </c>
      <c r="C17" s="13" t="s">
        <v>346</v>
      </c>
      <c r="D17" s="13">
        <v>1</v>
      </c>
      <c r="E17" s="13" t="s">
        <v>326</v>
      </c>
      <c r="F17" s="13" t="s">
        <v>327</v>
      </c>
      <c r="G17" s="13"/>
      <c r="H17" s="13"/>
      <c r="I17" s="13">
        <v>3</v>
      </c>
      <c r="J17" s="13">
        <v>2</v>
      </c>
      <c r="K17" s="13">
        <v>2</v>
      </c>
      <c r="L17" s="73">
        <f t="shared" si="0"/>
        <v>7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60"/>
      <c r="Y17" s="69" t="str">
        <f t="shared" si="1"/>
        <v/>
      </c>
      <c r="Z17" s="13"/>
      <c r="AA17" s="60"/>
      <c r="AB17" s="13"/>
      <c r="AC17" s="13"/>
      <c r="AD17" s="60"/>
      <c r="AE17" s="69" t="str">
        <f t="shared" si="2"/>
        <v/>
      </c>
    </row>
    <row r="18" spans="1:31" s="12" customFormat="1" ht="13.9" x14ac:dyDescent="0.4">
      <c r="A18" s="13"/>
      <c r="B18" s="13" t="s">
        <v>349</v>
      </c>
      <c r="C18" s="13" t="s">
        <v>346</v>
      </c>
      <c r="D18" s="13">
        <v>1</v>
      </c>
      <c r="E18" s="13" t="s">
        <v>326</v>
      </c>
      <c r="F18" s="13" t="s">
        <v>327</v>
      </c>
      <c r="G18" s="13"/>
      <c r="H18" s="13"/>
      <c r="I18" s="13">
        <v>3</v>
      </c>
      <c r="J18" s="13">
        <v>2</v>
      </c>
      <c r="K18" s="20">
        <v>2</v>
      </c>
      <c r="L18" s="73">
        <f t="shared" si="0"/>
        <v>7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60"/>
      <c r="Y18" s="69" t="str">
        <f t="shared" si="1"/>
        <v/>
      </c>
      <c r="Z18" s="13"/>
      <c r="AA18" s="60"/>
      <c r="AB18" s="13"/>
      <c r="AC18" s="13"/>
      <c r="AD18" s="60"/>
      <c r="AE18" s="69" t="str">
        <f t="shared" si="2"/>
        <v/>
      </c>
    </row>
    <row r="19" spans="1:31" s="12" customFormat="1" ht="13.9" x14ac:dyDescent="0.4">
      <c r="A19" s="13"/>
      <c r="B19" s="94" t="s">
        <v>347</v>
      </c>
      <c r="C19" s="13" t="s">
        <v>350</v>
      </c>
      <c r="D19" s="13">
        <v>1</v>
      </c>
      <c r="E19" s="13" t="s">
        <v>323</v>
      </c>
      <c r="F19" s="13" t="s">
        <v>353</v>
      </c>
      <c r="G19" s="13"/>
      <c r="H19" s="13"/>
      <c r="I19" s="13">
        <v>2</v>
      </c>
      <c r="J19" s="13">
        <v>2</v>
      </c>
      <c r="K19" s="13">
        <v>2</v>
      </c>
      <c r="L19" s="73">
        <f t="shared" si="0"/>
        <v>6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69"/>
      <c r="Z19" s="13"/>
      <c r="AA19" s="13"/>
      <c r="AB19" s="13"/>
      <c r="AC19" s="13"/>
      <c r="AD19" s="13"/>
      <c r="AE19" s="69"/>
    </row>
    <row r="20" spans="1:31" s="12" customFormat="1" ht="13.9" x14ac:dyDescent="0.4">
      <c r="A20" s="13"/>
      <c r="B20" s="13" t="s">
        <v>348</v>
      </c>
      <c r="C20" s="13" t="s">
        <v>351</v>
      </c>
      <c r="D20" s="13">
        <v>1</v>
      </c>
      <c r="E20" s="13" t="s">
        <v>323</v>
      </c>
      <c r="F20" s="13" t="s">
        <v>354</v>
      </c>
      <c r="G20" s="13"/>
      <c r="H20" s="13"/>
      <c r="I20" s="13">
        <v>3</v>
      </c>
      <c r="J20" s="13">
        <v>2</v>
      </c>
      <c r="K20" s="13">
        <v>2</v>
      </c>
      <c r="L20" s="73">
        <f t="shared" si="0"/>
        <v>7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60"/>
      <c r="Y20" s="69" t="str">
        <f t="shared" si="1"/>
        <v/>
      </c>
      <c r="Z20" s="13"/>
      <c r="AA20" s="60"/>
      <c r="AB20" s="13"/>
      <c r="AC20" s="13"/>
      <c r="AD20" s="60"/>
      <c r="AE20" s="69" t="str">
        <f t="shared" si="2"/>
        <v/>
      </c>
    </row>
    <row r="21" spans="1:31" s="12" customFormat="1" ht="27.75" x14ac:dyDescent="0.4">
      <c r="A21" s="13"/>
      <c r="B21" s="13" t="s">
        <v>349</v>
      </c>
      <c r="C21" s="13" t="s">
        <v>352</v>
      </c>
      <c r="D21" s="13">
        <v>1</v>
      </c>
      <c r="E21" s="13" t="s">
        <v>323</v>
      </c>
      <c r="F21" s="13" t="s">
        <v>330</v>
      </c>
      <c r="G21" s="13"/>
      <c r="H21" s="13"/>
      <c r="I21" s="13">
        <v>3</v>
      </c>
      <c r="J21" s="13">
        <v>2</v>
      </c>
      <c r="K21" s="20">
        <v>2</v>
      </c>
      <c r="L21" s="73">
        <f t="shared" si="0"/>
        <v>7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60"/>
      <c r="Y21" s="69" t="str">
        <f t="shared" si="1"/>
        <v/>
      </c>
      <c r="Z21" s="13"/>
      <c r="AA21" s="60"/>
      <c r="AB21" s="13"/>
      <c r="AC21" s="13"/>
      <c r="AD21" s="60"/>
      <c r="AE21" s="69" t="str">
        <f t="shared" si="2"/>
        <v/>
      </c>
    </row>
    <row r="22" spans="1:31" s="12" customFormat="1" ht="13.9" x14ac:dyDescent="0.4">
      <c r="A22" s="13"/>
      <c r="B22" s="13" t="s">
        <v>355</v>
      </c>
      <c r="C22" s="13" t="s">
        <v>359</v>
      </c>
      <c r="D22" s="13">
        <v>1</v>
      </c>
      <c r="E22" s="13" t="s">
        <v>363</v>
      </c>
      <c r="F22" s="13" t="s">
        <v>364</v>
      </c>
      <c r="G22" s="13"/>
      <c r="H22" s="13"/>
      <c r="I22" s="13">
        <v>1</v>
      </c>
      <c r="J22" s="13">
        <v>3</v>
      </c>
      <c r="K22" s="20">
        <v>3</v>
      </c>
      <c r="L22" s="73">
        <f t="shared" si="0"/>
        <v>7</v>
      </c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2" t="str">
        <f t="shared" si="1"/>
        <v/>
      </c>
      <c r="Z22" s="89"/>
      <c r="AA22" s="89"/>
      <c r="AB22" s="89"/>
      <c r="AC22" s="89"/>
      <c r="AD22" s="89"/>
      <c r="AE22" s="92"/>
    </row>
    <row r="23" spans="1:31" s="12" customFormat="1" ht="27.75" x14ac:dyDescent="0.4">
      <c r="A23" s="13"/>
      <c r="B23" s="13" t="s">
        <v>356</v>
      </c>
      <c r="C23" s="13" t="s">
        <v>360</v>
      </c>
      <c r="D23" s="13">
        <v>1</v>
      </c>
      <c r="E23" s="13" t="s">
        <v>363</v>
      </c>
      <c r="F23" s="13" t="s">
        <v>364</v>
      </c>
      <c r="G23" s="13"/>
      <c r="H23" s="13"/>
      <c r="I23" s="13">
        <v>1</v>
      </c>
      <c r="J23" s="13">
        <v>2</v>
      </c>
      <c r="K23" s="20">
        <v>2</v>
      </c>
      <c r="L23" s="73">
        <f t="shared" si="0"/>
        <v>5</v>
      </c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2"/>
      <c r="Z23" s="89"/>
      <c r="AA23" s="89"/>
      <c r="AB23" s="89"/>
      <c r="AC23" s="89"/>
      <c r="AD23" s="89"/>
      <c r="AE23" s="92"/>
    </row>
    <row r="24" spans="1:31" s="12" customFormat="1" ht="27.75" x14ac:dyDescent="0.4">
      <c r="A24" s="13"/>
      <c r="B24" s="13" t="s">
        <v>357</v>
      </c>
      <c r="C24" s="13" t="s">
        <v>360</v>
      </c>
      <c r="D24" s="13">
        <v>1</v>
      </c>
      <c r="E24" s="13" t="s">
        <v>363</v>
      </c>
      <c r="F24" s="13" t="s">
        <v>364</v>
      </c>
      <c r="G24" s="13"/>
      <c r="H24" s="13"/>
      <c r="I24" s="13">
        <v>1</v>
      </c>
      <c r="J24" s="13">
        <v>2</v>
      </c>
      <c r="K24" s="20">
        <v>2</v>
      </c>
      <c r="L24" s="73">
        <f t="shared" si="0"/>
        <v>5</v>
      </c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92"/>
      <c r="Z24" s="89"/>
      <c r="AA24" s="89"/>
      <c r="AB24" s="89"/>
      <c r="AC24" s="89"/>
      <c r="AD24" s="89"/>
      <c r="AE24" s="92"/>
    </row>
    <row r="25" spans="1:31" s="12" customFormat="1" ht="27.75" x14ac:dyDescent="0.4">
      <c r="A25" s="13"/>
      <c r="B25" s="13" t="s">
        <v>358</v>
      </c>
      <c r="C25" s="13" t="s">
        <v>360</v>
      </c>
      <c r="D25" s="13">
        <v>1</v>
      </c>
      <c r="E25" s="13" t="s">
        <v>363</v>
      </c>
      <c r="F25" s="13" t="s">
        <v>364</v>
      </c>
      <c r="G25" s="13"/>
      <c r="H25" s="13"/>
      <c r="I25" s="13">
        <v>1</v>
      </c>
      <c r="J25" s="13">
        <v>2</v>
      </c>
      <c r="K25" s="20">
        <v>2</v>
      </c>
      <c r="L25" s="73">
        <f t="shared" si="0"/>
        <v>5</v>
      </c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2"/>
      <c r="Z25" s="89"/>
      <c r="AA25" s="89"/>
      <c r="AB25" s="89"/>
      <c r="AC25" s="89"/>
      <c r="AD25" s="89"/>
      <c r="AE25" s="92"/>
    </row>
    <row r="26" spans="1:31" s="12" customFormat="1" ht="13.9" x14ac:dyDescent="0.4">
      <c r="A26" s="13"/>
      <c r="B26" s="94" t="s">
        <v>365</v>
      </c>
      <c r="C26" s="94" t="s">
        <v>366</v>
      </c>
      <c r="D26" s="13"/>
      <c r="E26" s="13" t="s">
        <v>361</v>
      </c>
      <c r="F26" s="13" t="s">
        <v>362</v>
      </c>
      <c r="G26" s="13"/>
      <c r="H26" s="13"/>
      <c r="I26" s="13"/>
      <c r="J26" s="13"/>
      <c r="K26" s="20"/>
      <c r="L26" s="73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92"/>
      <c r="Z26" s="89"/>
      <c r="AA26" s="89"/>
      <c r="AB26" s="89"/>
      <c r="AC26" s="89"/>
      <c r="AD26" s="89"/>
      <c r="AE26" s="92"/>
    </row>
    <row r="27" spans="1:31" s="12" customFormat="1" ht="13.9" x14ac:dyDescent="0.4">
      <c r="A27" s="13"/>
      <c r="B27" s="94" t="s">
        <v>365</v>
      </c>
      <c r="C27" s="94" t="s">
        <v>367</v>
      </c>
      <c r="D27" s="13"/>
      <c r="E27" s="13" t="s">
        <v>361</v>
      </c>
      <c r="F27" s="13" t="s">
        <v>368</v>
      </c>
      <c r="G27" s="13"/>
      <c r="H27" s="13"/>
      <c r="I27" s="13"/>
      <c r="J27" s="13"/>
      <c r="K27" s="20"/>
      <c r="L27" s="73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92"/>
      <c r="Z27" s="89"/>
      <c r="AA27" s="89"/>
      <c r="AB27" s="89"/>
      <c r="AC27" s="89"/>
      <c r="AD27" s="89"/>
      <c r="AE27" s="92"/>
    </row>
    <row r="28" spans="1:31" s="12" customFormat="1" ht="13.9" x14ac:dyDescent="0.4">
      <c r="A28" s="13"/>
      <c r="B28" s="94" t="s">
        <v>365</v>
      </c>
      <c r="C28" s="94" t="s">
        <v>372</v>
      </c>
      <c r="D28" s="13"/>
      <c r="E28" s="13" t="s">
        <v>361</v>
      </c>
      <c r="F28" s="13" t="s">
        <v>369</v>
      </c>
      <c r="G28" s="13"/>
      <c r="H28" s="13"/>
      <c r="I28" s="13"/>
      <c r="J28" s="13"/>
      <c r="K28" s="20"/>
      <c r="L28" s="73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92"/>
      <c r="Z28" s="89"/>
      <c r="AA28" s="89"/>
      <c r="AB28" s="89"/>
      <c r="AC28" s="89"/>
      <c r="AD28" s="89"/>
      <c r="AE28" s="92"/>
    </row>
    <row r="29" spans="1:31" s="12" customFormat="1" ht="13.9" x14ac:dyDescent="0.4">
      <c r="A29" s="13"/>
      <c r="B29" s="94" t="s">
        <v>365</v>
      </c>
      <c r="C29" s="94" t="s">
        <v>370</v>
      </c>
      <c r="D29" s="13"/>
      <c r="E29" s="13" t="s">
        <v>361</v>
      </c>
      <c r="F29" s="13" t="s">
        <v>362</v>
      </c>
      <c r="G29" s="13"/>
      <c r="H29" s="13"/>
      <c r="I29" s="13"/>
      <c r="J29" s="13"/>
      <c r="K29" s="20"/>
      <c r="L29" s="73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89"/>
      <c r="AA29" s="89"/>
      <c r="AB29" s="89"/>
      <c r="AC29" s="89"/>
      <c r="AD29" s="89"/>
      <c r="AE29" s="92"/>
    </row>
    <row r="30" spans="1:31" s="12" customFormat="1" ht="27.75" x14ac:dyDescent="0.4">
      <c r="A30" s="13"/>
      <c r="B30" s="94" t="s">
        <v>365</v>
      </c>
      <c r="C30" s="94" t="s">
        <v>371</v>
      </c>
      <c r="D30" s="13"/>
      <c r="E30" s="13" t="s">
        <v>323</v>
      </c>
      <c r="F30" s="13" t="s">
        <v>330</v>
      </c>
      <c r="G30" s="13"/>
      <c r="H30" s="13"/>
      <c r="I30" s="13"/>
      <c r="J30" s="13"/>
      <c r="K30" s="20"/>
      <c r="L30" s="73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2"/>
      <c r="Z30" s="89"/>
      <c r="AA30" s="89"/>
      <c r="AB30" s="89"/>
      <c r="AC30" s="89"/>
      <c r="AD30" s="89"/>
      <c r="AE30" s="92"/>
    </row>
    <row r="31" spans="1:31" s="12" customFormat="1" ht="13.9" x14ac:dyDescent="0.4">
      <c r="A31" s="13"/>
      <c r="B31" s="94" t="s">
        <v>365</v>
      </c>
      <c r="C31" s="94" t="s">
        <v>374</v>
      </c>
      <c r="D31" s="13"/>
      <c r="E31" s="13" t="s">
        <v>323</v>
      </c>
      <c r="F31" s="13" t="s">
        <v>373</v>
      </c>
      <c r="G31" s="13"/>
      <c r="H31" s="13"/>
      <c r="I31" s="13"/>
      <c r="J31" s="13"/>
      <c r="K31" s="20"/>
      <c r="L31" s="73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2"/>
      <c r="Z31" s="89"/>
      <c r="AA31" s="89"/>
      <c r="AB31" s="89"/>
      <c r="AC31" s="89"/>
      <c r="AD31" s="89"/>
      <c r="AE31" s="92"/>
    </row>
    <row r="32" spans="1:31" s="12" customFormat="1" ht="13.9" x14ac:dyDescent="0.4">
      <c r="A32" s="89"/>
      <c r="B32" s="89" t="s">
        <v>375</v>
      </c>
      <c r="C32" s="89" t="s">
        <v>375</v>
      </c>
      <c r="D32" s="89"/>
      <c r="E32" s="89" t="s">
        <v>377</v>
      </c>
      <c r="F32" s="89" t="s">
        <v>379</v>
      </c>
      <c r="G32" s="89"/>
      <c r="H32" s="89"/>
      <c r="I32" s="89"/>
      <c r="J32" s="89"/>
      <c r="K32" s="90"/>
      <c r="L32" s="91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92"/>
      <c r="Z32" s="89"/>
      <c r="AA32" s="89"/>
      <c r="AB32" s="89"/>
      <c r="AC32" s="89"/>
      <c r="AD32" s="89"/>
      <c r="AE32" s="92"/>
    </row>
    <row r="33" spans="1:31" s="12" customFormat="1" ht="27.75" x14ac:dyDescent="0.4">
      <c r="A33" s="89"/>
      <c r="B33" s="93" t="s">
        <v>376</v>
      </c>
      <c r="C33" s="93" t="s">
        <v>376</v>
      </c>
      <c r="D33" s="89"/>
      <c r="E33" s="89" t="s">
        <v>377</v>
      </c>
      <c r="F33" s="89" t="s">
        <v>378</v>
      </c>
      <c r="G33" s="89"/>
      <c r="H33" s="89"/>
      <c r="I33" s="89"/>
      <c r="J33" s="89"/>
      <c r="K33" s="90"/>
      <c r="L33" s="91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92"/>
      <c r="Z33" s="89"/>
      <c r="AA33" s="89"/>
      <c r="AB33" s="89"/>
      <c r="AC33" s="89"/>
      <c r="AD33" s="89"/>
      <c r="AE33" s="92"/>
    </row>
    <row r="34" spans="1:31" s="2" customFormat="1" ht="13.9" x14ac:dyDescent="0.4">
      <c r="B34" s="93"/>
      <c r="C34" s="8" t="s">
        <v>22</v>
      </c>
      <c r="E34" s="9"/>
      <c r="F34" s="9"/>
      <c r="H34" s="3"/>
      <c r="I34" s="4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23</v>
      </c>
      <c r="W34" s="5"/>
      <c r="AA34" s="6"/>
      <c r="AB34" s="6"/>
    </row>
    <row r="35" spans="1:31" ht="13.9" x14ac:dyDescent="0.4">
      <c r="A35" s="2"/>
      <c r="U35" s="8"/>
    </row>
    <row r="36" spans="1:31" ht="13.9" x14ac:dyDescent="0.4">
      <c r="A36" s="2"/>
      <c r="U36" s="8"/>
    </row>
  </sheetData>
  <dataConsolidate/>
  <mergeCells count="24">
    <mergeCell ref="AA3:AE3"/>
    <mergeCell ref="C3:C4"/>
    <mergeCell ref="A3:A4"/>
    <mergeCell ref="G3:G4"/>
    <mergeCell ref="H3:H4"/>
    <mergeCell ref="B3:B4"/>
    <mergeCell ref="Z3:Z4"/>
    <mergeCell ref="T3:U3"/>
    <mergeCell ref="A1:B1"/>
    <mergeCell ref="A2:B2"/>
    <mergeCell ref="D1:Y2"/>
    <mergeCell ref="AC1:AE1"/>
    <mergeCell ref="AC2:AE2"/>
    <mergeCell ref="Z1:AB1"/>
    <mergeCell ref="Z2:AB2"/>
    <mergeCell ref="V3:W3"/>
    <mergeCell ref="E3:F3"/>
    <mergeCell ref="M3:N3"/>
    <mergeCell ref="O3:S3"/>
    <mergeCell ref="D3:D4"/>
    <mergeCell ref="I3:I4"/>
    <mergeCell ref="J3:J4"/>
    <mergeCell ref="K3:K4"/>
    <mergeCell ref="L3:L4"/>
  </mergeCells>
  <phoneticPr fontId="0" type="noConversion"/>
  <dataValidations xWindow="1055" yWindow="350" count="8">
    <dataValidation type="list" allowBlank="1" showInputMessage="1" showErrorMessage="1" sqref="E5:E33" xr:uid="{6323063A-699D-473B-80E7-97666A1A5725}">
      <formula1>主類別</formula1>
    </dataValidation>
    <dataValidation type="list" errorStyle="information" allowBlank="1" showInputMessage="1" prompt="請使用下拉式選單或自行在資產威脅對照表擴充所需項目" sqref="F5:F33" xr:uid="{D24D8629-0BA0-4216-A0F6-35856F2732F0}">
      <formula1>INDIRECT(E5&amp;$F$4)</formula1>
    </dataValidation>
    <dataValidation type="list" allowBlank="1" showInputMessage="1" showErrorMessage="1" sqref="P5:P33" xr:uid="{4BB46CCD-30F9-4A8C-91FC-20210BF21EBB}">
      <formula1>資料類型</formula1>
    </dataValidation>
    <dataValidation type="list" allowBlank="1" showInputMessage="1" showErrorMessage="1" sqref="T5:T33" xr:uid="{E876067B-2007-4F57-819F-056766266BF9}">
      <formula1>INDIRECT(E5&amp;$T$3)</formula1>
    </dataValidation>
    <dataValidation type="list" allowBlank="1" showInputMessage="1" showErrorMessage="1" sqref="V5:V33" xr:uid="{DC2962CC-8C1B-4EA9-8B8E-FA669F8C7AF8}">
      <formula1>INDIRECT(E5&amp;$T$3&amp;$V$3)</formula1>
    </dataValidation>
    <dataValidation errorStyle="information" allowBlank="1" showInputMessage="1" sqref="V35:V1048576" xr:uid="{06675477-B31A-4877-88EF-57FC17B906DB}"/>
    <dataValidation type="list" errorStyle="information" allowBlank="1" showInputMessage="1" prompt="請使用下拉式選單或自行在資產威脅對照表擴充所需項目" sqref="T35:T1048576" xr:uid="{46B95163-DCB0-4B39-B6D6-FE91EA8A7EEF}">
      <formula1>INDIRECT(M37)</formula1>
    </dataValidation>
    <dataValidation type="list" errorStyle="information" allowBlank="1" showInputMessage="1" prompt="請使用下拉式選單或自行在資產威脅對照表擴充所需項目" sqref="F35:F1048576" xr:uid="{752C7A3A-DA45-4D54-BFEF-5972270F260E}">
      <formula1>資產類別</formula1>
    </dataValidation>
  </dataValidations>
  <pageMargins left="0.35433070866141736" right="0.35433070866141736" top="0.98425196850393704" bottom="0.59055118110236227" header="0.51181102362204722" footer="0.51181102362204722"/>
  <pageSetup scale="4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35AD-FFF1-4467-ADA8-9606CAB039B8}">
  <dimension ref="A1:J16"/>
  <sheetViews>
    <sheetView zoomScale="85" zoomScaleNormal="85" workbookViewId="0">
      <selection activeCell="A3" sqref="A3"/>
    </sheetView>
  </sheetViews>
  <sheetFormatPr defaultRowHeight="12.75" x14ac:dyDescent="0.35"/>
  <cols>
    <col min="1" max="1" width="16.796875" customWidth="1"/>
    <col min="2" max="2" width="6.53125" customWidth="1"/>
    <col min="3" max="4" width="17.19921875" bestFit="1" customWidth="1"/>
    <col min="5" max="6" width="14.796875" bestFit="1" customWidth="1"/>
    <col min="7" max="7" width="17.19921875" bestFit="1" customWidth="1"/>
    <col min="8" max="8" width="14.796875" bestFit="1" customWidth="1"/>
    <col min="10" max="10" width="13.19921875" customWidth="1"/>
  </cols>
  <sheetData>
    <row r="1" spans="1:10" ht="16.149999999999999" x14ac:dyDescent="0.35">
      <c r="A1" s="14" t="s">
        <v>34</v>
      </c>
      <c r="C1" s="111" t="s">
        <v>35</v>
      </c>
      <c r="D1" s="111"/>
      <c r="E1" s="111"/>
      <c r="F1" s="111"/>
      <c r="G1" s="111"/>
      <c r="H1" s="111"/>
      <c r="J1" s="14" t="s">
        <v>36</v>
      </c>
    </row>
    <row r="2" spans="1:10" ht="16.149999999999999" x14ac:dyDescent="0.35">
      <c r="A2" s="15" t="s">
        <v>37</v>
      </c>
      <c r="B2" s="15"/>
      <c r="C2" s="15" t="s">
        <v>38</v>
      </c>
      <c r="D2" s="15" t="s">
        <v>39</v>
      </c>
      <c r="E2" s="15" t="s">
        <v>40</v>
      </c>
      <c r="F2" s="15" t="s">
        <v>41</v>
      </c>
      <c r="G2" s="15" t="s">
        <v>42</v>
      </c>
      <c r="H2" s="15" t="s">
        <v>43</v>
      </c>
      <c r="I2" s="15"/>
      <c r="J2" s="15" t="s">
        <v>44</v>
      </c>
    </row>
    <row r="3" spans="1:10" ht="16.149999999999999" x14ac:dyDescent="0.35">
      <c r="A3" s="16" t="s">
        <v>45</v>
      </c>
      <c r="B3" s="15"/>
      <c r="C3" s="15" t="s">
        <v>46</v>
      </c>
      <c r="D3" s="15" t="s">
        <v>47</v>
      </c>
      <c r="E3" s="15" t="s">
        <v>48</v>
      </c>
      <c r="F3" s="15" t="s">
        <v>49</v>
      </c>
      <c r="G3" s="15" t="s">
        <v>50</v>
      </c>
      <c r="H3" s="15" t="s">
        <v>51</v>
      </c>
      <c r="I3" s="15"/>
      <c r="J3" s="15" t="s">
        <v>52</v>
      </c>
    </row>
    <row r="4" spans="1:10" ht="16.149999999999999" x14ac:dyDescent="0.35">
      <c r="A4" s="17" t="s">
        <v>53</v>
      </c>
      <c r="B4" s="15"/>
      <c r="C4" s="15" t="s">
        <v>54</v>
      </c>
      <c r="D4" s="15" t="s">
        <v>55</v>
      </c>
      <c r="E4" s="15" t="s">
        <v>56</v>
      </c>
      <c r="F4" s="15" t="s">
        <v>57</v>
      </c>
      <c r="G4" s="15" t="s">
        <v>58</v>
      </c>
      <c r="H4" s="15" t="s">
        <v>59</v>
      </c>
      <c r="I4" s="15"/>
      <c r="J4" s="15" t="s">
        <v>60</v>
      </c>
    </row>
    <row r="5" spans="1:10" ht="16.149999999999999" x14ac:dyDescent="0.35">
      <c r="A5" s="17" t="s">
        <v>61</v>
      </c>
      <c r="B5" s="15"/>
      <c r="C5" s="15" t="s">
        <v>62</v>
      </c>
      <c r="D5" s="15" t="s">
        <v>63</v>
      </c>
      <c r="E5" s="15" t="s">
        <v>64</v>
      </c>
      <c r="F5" s="15" t="s">
        <v>65</v>
      </c>
      <c r="G5" s="15" t="s">
        <v>66</v>
      </c>
      <c r="H5" s="15" t="s">
        <v>67</v>
      </c>
      <c r="I5" s="15"/>
      <c r="J5" s="15" t="s">
        <v>68</v>
      </c>
    </row>
    <row r="6" spans="1:10" ht="16.149999999999999" x14ac:dyDescent="0.35">
      <c r="A6" s="17" t="s">
        <v>312</v>
      </c>
      <c r="B6" s="15"/>
      <c r="C6" s="15" t="s">
        <v>69</v>
      </c>
      <c r="D6" s="15" t="s">
        <v>70</v>
      </c>
      <c r="E6" s="15"/>
      <c r="F6" s="15" t="s">
        <v>71</v>
      </c>
      <c r="G6" s="15" t="s">
        <v>72</v>
      </c>
      <c r="H6" s="15" t="s">
        <v>73</v>
      </c>
      <c r="I6" s="15"/>
      <c r="J6" s="15"/>
    </row>
    <row r="7" spans="1:10" ht="16.149999999999999" x14ac:dyDescent="0.35">
      <c r="A7" s="15" t="s">
        <v>74</v>
      </c>
      <c r="B7" s="15"/>
      <c r="C7" s="15" t="s">
        <v>75</v>
      </c>
      <c r="D7" s="15" t="s">
        <v>76</v>
      </c>
      <c r="E7" s="15"/>
      <c r="F7" s="15" t="s">
        <v>77</v>
      </c>
      <c r="G7" s="15" t="s">
        <v>78</v>
      </c>
      <c r="H7" s="15" t="s">
        <v>79</v>
      </c>
      <c r="I7" s="15"/>
      <c r="J7" s="15"/>
    </row>
    <row r="8" spans="1:10" ht="16.149999999999999" x14ac:dyDescent="0.35">
      <c r="B8" s="15"/>
      <c r="C8" s="15" t="s">
        <v>80</v>
      </c>
      <c r="D8" s="15" t="s">
        <v>81</v>
      </c>
      <c r="E8" s="15"/>
      <c r="F8" s="15" t="s">
        <v>82</v>
      </c>
      <c r="G8" s="15" t="s">
        <v>83</v>
      </c>
      <c r="H8" s="15" t="s">
        <v>84</v>
      </c>
      <c r="I8" s="15"/>
      <c r="J8" s="15"/>
    </row>
    <row r="9" spans="1:10" ht="16.149999999999999" x14ac:dyDescent="0.35">
      <c r="A9" s="15"/>
      <c r="B9" s="15"/>
      <c r="C9" s="15"/>
      <c r="D9" s="15" t="s">
        <v>85</v>
      </c>
      <c r="E9" s="15"/>
      <c r="F9" s="15"/>
      <c r="G9" s="11"/>
      <c r="H9" s="15" t="s">
        <v>86</v>
      </c>
      <c r="I9" s="15"/>
      <c r="J9" s="15"/>
    </row>
    <row r="10" spans="1:10" ht="16.149999999999999" x14ac:dyDescent="0.35">
      <c r="A10" s="11"/>
      <c r="B10" s="11"/>
      <c r="C10" s="15"/>
      <c r="D10" s="15" t="s">
        <v>87</v>
      </c>
      <c r="E10" s="15"/>
      <c r="F10" s="15"/>
      <c r="G10" s="15"/>
      <c r="H10" s="15" t="s">
        <v>88</v>
      </c>
      <c r="I10" s="15"/>
      <c r="J10" s="15"/>
    </row>
    <row r="11" spans="1:10" ht="16.149999999999999" x14ac:dyDescent="0.35">
      <c r="A11" s="11"/>
      <c r="B11" s="11"/>
      <c r="C11" s="11"/>
      <c r="D11" s="15" t="s">
        <v>89</v>
      </c>
      <c r="E11" s="11"/>
      <c r="F11" s="15"/>
      <c r="G11" s="11"/>
      <c r="H11" s="11"/>
    </row>
    <row r="12" spans="1:10" x14ac:dyDescent="0.35">
      <c r="A12" s="11"/>
      <c r="B12" s="11"/>
      <c r="C12" s="11"/>
      <c r="D12" s="11"/>
      <c r="E12" s="11"/>
      <c r="F12" s="11"/>
      <c r="G12" s="11"/>
      <c r="H12" s="11"/>
    </row>
    <row r="13" spans="1:10" ht="16.149999999999999" x14ac:dyDescent="0.35">
      <c r="B13" s="15"/>
      <c r="C13" s="11"/>
      <c r="D13" s="11"/>
      <c r="E13" s="11"/>
      <c r="F13" s="11"/>
      <c r="G13" s="11"/>
      <c r="H13" s="11"/>
    </row>
    <row r="14" spans="1:10" ht="16.149999999999999" x14ac:dyDescent="0.35">
      <c r="B14" s="15"/>
      <c r="C14" s="11"/>
      <c r="D14" s="11"/>
      <c r="E14" s="11"/>
      <c r="F14" s="11"/>
      <c r="G14" s="11"/>
      <c r="H14" s="11"/>
    </row>
    <row r="15" spans="1:10" ht="16.149999999999999" x14ac:dyDescent="0.35">
      <c r="B15" s="15"/>
    </row>
    <row r="16" spans="1:10" ht="16.149999999999999" x14ac:dyDescent="0.35">
      <c r="B16" s="15"/>
    </row>
  </sheetData>
  <mergeCells count="1">
    <mergeCell ref="C1:H1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S36"/>
  <sheetViews>
    <sheetView zoomScale="90" zoomScaleNormal="90" workbookViewId="0">
      <selection activeCell="A2" sqref="A2:A21"/>
    </sheetView>
  </sheetViews>
  <sheetFormatPr defaultColWidth="13.19921875" defaultRowHeight="16.149999999999999" x14ac:dyDescent="0.35"/>
  <cols>
    <col min="1" max="1" width="34" style="15" customWidth="1"/>
    <col min="2" max="2" width="60.19921875" style="15" customWidth="1"/>
    <col min="3" max="3" width="36" style="15" customWidth="1"/>
    <col min="4" max="4" width="35.19921875" style="15" customWidth="1"/>
    <col min="5" max="5" width="33.796875" style="15" customWidth="1"/>
    <col min="6" max="6" width="35.796875" style="15" customWidth="1"/>
    <col min="7" max="7" width="18.19921875" style="15" customWidth="1"/>
    <col min="8" max="8" width="23" style="15" customWidth="1"/>
    <col min="9" max="10" width="32.53125" style="15" customWidth="1"/>
    <col min="11" max="11" width="36.53125" style="15" customWidth="1"/>
    <col min="12" max="12" width="40.53125" style="15" customWidth="1"/>
    <col min="13" max="13" width="36.53125" style="15" customWidth="1"/>
    <col min="14" max="14" width="35.19921875" style="15" customWidth="1"/>
    <col min="15" max="18" width="8" style="15" customWidth="1"/>
    <col min="19" max="19" width="60.19921875" style="15" bestFit="1" customWidth="1"/>
    <col min="20" max="26" width="8" style="15" customWidth="1"/>
    <col min="27" max="16384" width="13.19921875" style="15"/>
  </cols>
  <sheetData>
    <row r="1" spans="1:19" x14ac:dyDescent="0.35">
      <c r="A1" s="25" t="s">
        <v>102</v>
      </c>
      <c r="B1" s="26" t="s">
        <v>103</v>
      </c>
      <c r="C1" s="27" t="s">
        <v>104</v>
      </c>
      <c r="D1" s="28" t="s">
        <v>105</v>
      </c>
      <c r="E1" s="26" t="s">
        <v>106</v>
      </c>
      <c r="F1" s="29" t="s">
        <v>308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x14ac:dyDescent="0.35">
      <c r="A2" s="25" t="s">
        <v>107</v>
      </c>
      <c r="B2" s="31" t="s">
        <v>107</v>
      </c>
      <c r="C2" s="32" t="s">
        <v>108</v>
      </c>
      <c r="D2" s="25" t="s">
        <v>108</v>
      </c>
      <c r="E2" s="31" t="s">
        <v>108</v>
      </c>
      <c r="F2" s="32" t="s">
        <v>108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5">
      <c r="A3" s="25" t="s">
        <v>109</v>
      </c>
      <c r="B3" s="31" t="s">
        <v>109</v>
      </c>
      <c r="C3" s="32" t="s">
        <v>110</v>
      </c>
      <c r="D3" s="25" t="s">
        <v>110</v>
      </c>
      <c r="E3" s="31" t="s">
        <v>110</v>
      </c>
      <c r="F3" s="32" t="s">
        <v>110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x14ac:dyDescent="0.35">
      <c r="A4" s="25" t="s">
        <v>111</v>
      </c>
      <c r="B4" s="31" t="s">
        <v>111</v>
      </c>
      <c r="C4" s="32" t="s">
        <v>112</v>
      </c>
      <c r="D4" s="25" t="s">
        <v>112</v>
      </c>
      <c r="E4" s="31" t="s">
        <v>112</v>
      </c>
      <c r="F4" s="32" t="s">
        <v>112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19" x14ac:dyDescent="0.35">
      <c r="A5" s="25" t="s">
        <v>113</v>
      </c>
      <c r="B5" s="31" t="s">
        <v>113</v>
      </c>
      <c r="C5" s="32" t="s">
        <v>114</v>
      </c>
      <c r="D5" s="25" t="s">
        <v>115</v>
      </c>
      <c r="E5" s="31" t="s">
        <v>115</v>
      </c>
      <c r="F5" s="32" t="s">
        <v>115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x14ac:dyDescent="0.35">
      <c r="A6" s="25" t="s">
        <v>110</v>
      </c>
      <c r="B6" s="31" t="s">
        <v>110</v>
      </c>
      <c r="C6" s="32" t="s">
        <v>116</v>
      </c>
      <c r="D6" s="25" t="s">
        <v>117</v>
      </c>
      <c r="E6" s="31" t="s">
        <v>117</v>
      </c>
      <c r="F6" s="32" t="s">
        <v>117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1:19" ht="30.75" x14ac:dyDescent="0.35">
      <c r="A7" s="25" t="s">
        <v>112</v>
      </c>
      <c r="B7" s="31" t="s">
        <v>112</v>
      </c>
      <c r="C7" s="32" t="s">
        <v>118</v>
      </c>
      <c r="D7" s="25" t="s">
        <v>119</v>
      </c>
      <c r="E7" s="31" t="s">
        <v>119</v>
      </c>
      <c r="F7" s="32" t="s">
        <v>119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1:19" x14ac:dyDescent="0.35">
      <c r="A8" s="25" t="s">
        <v>120</v>
      </c>
      <c r="B8" s="31" t="s">
        <v>114</v>
      </c>
      <c r="C8" s="32" t="s">
        <v>121</v>
      </c>
      <c r="D8" s="25" t="s">
        <v>122</v>
      </c>
      <c r="E8" s="31" t="s">
        <v>122</v>
      </c>
      <c r="F8" s="32" t="s">
        <v>122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5">
      <c r="A9" s="25" t="s">
        <v>114</v>
      </c>
      <c r="B9" s="31" t="s">
        <v>116</v>
      </c>
      <c r="C9" s="32" t="s">
        <v>123</v>
      </c>
      <c r="D9" s="25" t="s">
        <v>124</v>
      </c>
      <c r="E9" s="31" t="s">
        <v>124</v>
      </c>
      <c r="F9" s="32" t="s">
        <v>124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 x14ac:dyDescent="0.35">
      <c r="A10" s="25" t="s">
        <v>125</v>
      </c>
      <c r="B10" s="31" t="s">
        <v>118</v>
      </c>
      <c r="C10" s="32" t="s">
        <v>126</v>
      </c>
      <c r="D10" s="25" t="s">
        <v>127</v>
      </c>
      <c r="E10" s="31" t="s">
        <v>127</v>
      </c>
      <c r="F10" s="32" t="s">
        <v>127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x14ac:dyDescent="0.35">
      <c r="A11" s="25" t="s">
        <v>116</v>
      </c>
      <c r="B11" s="31" t="s">
        <v>121</v>
      </c>
      <c r="C11" s="32" t="s">
        <v>115</v>
      </c>
      <c r="D11" s="25" t="s">
        <v>128</v>
      </c>
      <c r="E11" s="31" t="s">
        <v>128</v>
      </c>
      <c r="F11" s="32" t="s">
        <v>128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</row>
    <row r="12" spans="1:19" x14ac:dyDescent="0.35">
      <c r="A12" s="25" t="s">
        <v>118</v>
      </c>
      <c r="B12" s="31" t="s">
        <v>123</v>
      </c>
      <c r="C12" s="32" t="s">
        <v>129</v>
      </c>
      <c r="D12" s="25" t="s">
        <v>130</v>
      </c>
      <c r="E12" s="31" t="s">
        <v>130</v>
      </c>
      <c r="F12" s="32" t="s">
        <v>130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</row>
    <row r="13" spans="1:19" x14ac:dyDescent="0.35">
      <c r="A13" s="25" t="s">
        <v>121</v>
      </c>
      <c r="B13" s="31" t="s">
        <v>126</v>
      </c>
      <c r="C13" s="32" t="s">
        <v>117</v>
      </c>
      <c r="D13" s="25" t="s">
        <v>131</v>
      </c>
      <c r="E13" s="31" t="s">
        <v>131</v>
      </c>
      <c r="F13" s="32" t="s">
        <v>131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</row>
    <row r="14" spans="1:19" x14ac:dyDescent="0.35">
      <c r="A14" s="25" t="s">
        <v>123</v>
      </c>
      <c r="B14" s="31" t="s">
        <v>115</v>
      </c>
      <c r="C14" s="32" t="s">
        <v>132</v>
      </c>
      <c r="D14" s="25" t="s">
        <v>133</v>
      </c>
      <c r="E14" s="31" t="s">
        <v>133</v>
      </c>
      <c r="F14" s="32" t="s">
        <v>133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1:19" ht="30.75" x14ac:dyDescent="0.35">
      <c r="A15" s="25" t="s">
        <v>126</v>
      </c>
      <c r="B15" s="31" t="s">
        <v>129</v>
      </c>
      <c r="C15" s="32" t="s">
        <v>119</v>
      </c>
      <c r="D15" s="25" t="s">
        <v>134</v>
      </c>
      <c r="E15" s="31" t="s">
        <v>134</v>
      </c>
      <c r="F15" s="32" t="s">
        <v>134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19" x14ac:dyDescent="0.35">
      <c r="A16" s="25" t="s">
        <v>135</v>
      </c>
      <c r="B16" s="31" t="s">
        <v>117</v>
      </c>
      <c r="C16" s="32" t="s">
        <v>122</v>
      </c>
      <c r="D16" s="25" t="s">
        <v>136</v>
      </c>
      <c r="E16" s="31" t="s">
        <v>136</v>
      </c>
      <c r="F16" s="32" t="s">
        <v>136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19" x14ac:dyDescent="0.35">
      <c r="A17" s="25" t="s">
        <v>115</v>
      </c>
      <c r="B17" s="31" t="s">
        <v>132</v>
      </c>
      <c r="C17" s="32" t="s">
        <v>124</v>
      </c>
      <c r="D17" s="25" t="s">
        <v>137</v>
      </c>
      <c r="E17" s="31" t="s">
        <v>137</v>
      </c>
      <c r="F17" s="32" t="s">
        <v>137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19" x14ac:dyDescent="0.35">
      <c r="A18" s="25" t="s">
        <v>129</v>
      </c>
      <c r="B18" s="31" t="s">
        <v>119</v>
      </c>
      <c r="C18" s="32" t="s">
        <v>127</v>
      </c>
      <c r="D18" s="25" t="s">
        <v>138</v>
      </c>
      <c r="E18" s="31" t="s">
        <v>138</v>
      </c>
      <c r="F18" s="32" t="s">
        <v>138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x14ac:dyDescent="0.35">
      <c r="A19" s="25" t="s">
        <v>117</v>
      </c>
      <c r="B19" s="31" t="s">
        <v>139</v>
      </c>
      <c r="C19" s="32" t="s">
        <v>128</v>
      </c>
      <c r="D19" s="25" t="s">
        <v>120</v>
      </c>
      <c r="E19" s="31" t="s">
        <v>120</v>
      </c>
      <c r="F19" s="32" t="s">
        <v>140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19" x14ac:dyDescent="0.35">
      <c r="A20" s="25" t="s">
        <v>132</v>
      </c>
      <c r="B20" s="31" t="s">
        <v>122</v>
      </c>
      <c r="C20" s="32" t="s">
        <v>130</v>
      </c>
      <c r="D20" s="25" t="s">
        <v>140</v>
      </c>
      <c r="E20" s="31" t="s">
        <v>140</v>
      </c>
      <c r="F20" s="32" t="s">
        <v>141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 ht="30.75" x14ac:dyDescent="0.35">
      <c r="A21" s="25" t="s">
        <v>142</v>
      </c>
      <c r="B21" s="31" t="s">
        <v>124</v>
      </c>
      <c r="C21" s="32" t="s">
        <v>131</v>
      </c>
      <c r="D21" s="25" t="s">
        <v>141</v>
      </c>
      <c r="E21" s="31" t="s">
        <v>141</v>
      </c>
      <c r="F21" s="32" t="s">
        <v>143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</row>
    <row r="22" spans="1:19" x14ac:dyDescent="0.35">
      <c r="A22" s="27"/>
      <c r="B22" s="31" t="s">
        <v>19</v>
      </c>
      <c r="C22" s="32" t="s">
        <v>133</v>
      </c>
      <c r="D22" s="25" t="s">
        <v>143</v>
      </c>
      <c r="E22" s="31" t="s">
        <v>143</v>
      </c>
      <c r="F22" s="32" t="s">
        <v>107</v>
      </c>
    </row>
    <row r="23" spans="1:19" x14ac:dyDescent="0.35">
      <c r="A23" s="27"/>
      <c r="B23" s="31" t="s">
        <v>144</v>
      </c>
      <c r="C23" s="32" t="s">
        <v>134</v>
      </c>
      <c r="D23" s="25" t="s">
        <v>107</v>
      </c>
      <c r="E23" s="31" t="s">
        <v>107</v>
      </c>
      <c r="F23" s="32" t="s">
        <v>109</v>
      </c>
    </row>
    <row r="24" spans="1:19" x14ac:dyDescent="0.35">
      <c r="A24" s="27"/>
      <c r="B24" s="31" t="s">
        <v>145</v>
      </c>
      <c r="C24" s="32" t="s">
        <v>136</v>
      </c>
      <c r="D24" s="25" t="s">
        <v>109</v>
      </c>
      <c r="E24" s="31" t="s">
        <v>109</v>
      </c>
      <c r="F24" s="32" t="s">
        <v>111</v>
      </c>
    </row>
    <row r="25" spans="1:19" x14ac:dyDescent="0.35">
      <c r="A25" s="27"/>
      <c r="B25" s="31" t="s">
        <v>127</v>
      </c>
      <c r="C25" s="32" t="s">
        <v>137</v>
      </c>
      <c r="D25" s="25" t="s">
        <v>111</v>
      </c>
      <c r="E25" s="31" t="s">
        <v>111</v>
      </c>
      <c r="F25" s="32" t="s">
        <v>113</v>
      </c>
    </row>
    <row r="26" spans="1:19" x14ac:dyDescent="0.35">
      <c r="A26" s="27"/>
      <c r="B26" s="31" t="s">
        <v>128</v>
      </c>
      <c r="C26" s="32" t="s">
        <v>138</v>
      </c>
      <c r="D26" s="25" t="s">
        <v>113</v>
      </c>
      <c r="E26" s="31" t="s">
        <v>113</v>
      </c>
      <c r="F26" s="32" t="s">
        <v>139</v>
      </c>
    </row>
    <row r="27" spans="1:19" x14ac:dyDescent="0.35">
      <c r="A27" s="27"/>
      <c r="B27" s="31" t="s">
        <v>146</v>
      </c>
      <c r="C27" s="32" t="s">
        <v>120</v>
      </c>
      <c r="D27" s="25" t="s">
        <v>139</v>
      </c>
      <c r="E27" s="31" t="s">
        <v>139</v>
      </c>
      <c r="F27" s="32" t="s">
        <v>19</v>
      </c>
    </row>
    <row r="28" spans="1:19" x14ac:dyDescent="0.35">
      <c r="A28" s="27"/>
      <c r="B28" s="31" t="s">
        <v>130</v>
      </c>
      <c r="C28" s="32" t="s">
        <v>125</v>
      </c>
      <c r="D28" s="25" t="s">
        <v>19</v>
      </c>
      <c r="E28" s="31" t="s">
        <v>19</v>
      </c>
      <c r="F28" s="32" t="s">
        <v>146</v>
      </c>
    </row>
    <row r="29" spans="1:19" x14ac:dyDescent="0.35">
      <c r="A29" s="27"/>
      <c r="B29" s="31" t="s">
        <v>131</v>
      </c>
      <c r="C29" s="32" t="s">
        <v>135</v>
      </c>
      <c r="D29" s="25" t="s">
        <v>146</v>
      </c>
      <c r="E29" s="31" t="s">
        <v>146</v>
      </c>
      <c r="F29" s="32" t="s">
        <v>147</v>
      </c>
    </row>
    <row r="30" spans="1:19" x14ac:dyDescent="0.35">
      <c r="A30" s="27"/>
      <c r="B30" s="31" t="s">
        <v>133</v>
      </c>
      <c r="C30" s="32" t="s">
        <v>140</v>
      </c>
      <c r="D30" s="25" t="s">
        <v>147</v>
      </c>
      <c r="E30" s="31" t="s">
        <v>147</v>
      </c>
      <c r="F30" s="32" t="s">
        <v>121</v>
      </c>
    </row>
    <row r="31" spans="1:19" x14ac:dyDescent="0.35">
      <c r="A31" s="27"/>
      <c r="B31" s="31" t="s">
        <v>134</v>
      </c>
      <c r="C31" s="32" t="s">
        <v>141</v>
      </c>
      <c r="D31" s="27"/>
      <c r="E31" s="27"/>
      <c r="F31" s="32" t="s">
        <v>123</v>
      </c>
    </row>
    <row r="32" spans="1:19" x14ac:dyDescent="0.35">
      <c r="A32" s="27"/>
      <c r="B32" s="31" t="s">
        <v>136</v>
      </c>
      <c r="C32" s="32" t="s">
        <v>143</v>
      </c>
      <c r="D32" s="27"/>
      <c r="E32" s="27"/>
      <c r="F32" s="32" t="s">
        <v>126</v>
      </c>
    </row>
    <row r="33" spans="1:6" x14ac:dyDescent="0.35">
      <c r="A33" s="27"/>
      <c r="B33" s="31" t="s">
        <v>137</v>
      </c>
      <c r="C33" s="32" t="s">
        <v>148</v>
      </c>
      <c r="D33" s="27"/>
      <c r="E33" s="27"/>
      <c r="F33" s="32" t="s">
        <v>129</v>
      </c>
    </row>
    <row r="34" spans="1:6" x14ac:dyDescent="0.35">
      <c r="A34" s="27"/>
      <c r="B34" s="31" t="s">
        <v>138</v>
      </c>
      <c r="C34" s="27"/>
      <c r="D34" s="27"/>
      <c r="E34" s="27"/>
      <c r="F34" s="32" t="s">
        <v>132</v>
      </c>
    </row>
    <row r="35" spans="1:6" x14ac:dyDescent="0.35">
      <c r="A35" s="27"/>
      <c r="B35" s="31" t="s">
        <v>149</v>
      </c>
      <c r="C35" s="27"/>
      <c r="D35" s="27"/>
      <c r="E35" s="27"/>
      <c r="F35" s="32" t="s">
        <v>135</v>
      </c>
    </row>
    <row r="36" spans="1:6" x14ac:dyDescent="0.35">
      <c r="F36" s="3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F1000"/>
  <sheetViews>
    <sheetView zoomScaleNormal="100" workbookViewId="0">
      <selection activeCell="A6" sqref="A6"/>
    </sheetView>
  </sheetViews>
  <sheetFormatPr defaultColWidth="13.19921875" defaultRowHeight="16.149999999999999" x14ac:dyDescent="0.35"/>
  <cols>
    <col min="1" max="1" width="39.46484375" style="15" customWidth="1"/>
    <col min="2" max="3" width="42.53125" style="15" customWidth="1"/>
    <col min="4" max="4" width="33.19921875" style="15" customWidth="1"/>
    <col min="5" max="6" width="37.19921875" style="15" customWidth="1"/>
    <col min="7" max="10" width="8" style="15" customWidth="1"/>
    <col min="11" max="16384" width="13.19921875" style="15"/>
  </cols>
  <sheetData>
    <row r="1" spans="1:6" ht="16.5" customHeight="1" x14ac:dyDescent="0.35">
      <c r="A1" s="35" t="s">
        <v>150</v>
      </c>
      <c r="B1" s="36" t="s">
        <v>151</v>
      </c>
      <c r="C1" s="37" t="s">
        <v>152</v>
      </c>
      <c r="D1" s="35" t="s">
        <v>153</v>
      </c>
      <c r="E1" s="36" t="s">
        <v>154</v>
      </c>
      <c r="F1" s="37" t="s">
        <v>155</v>
      </c>
    </row>
    <row r="2" spans="1:6" ht="16.5" customHeight="1" x14ac:dyDescent="0.35">
      <c r="A2" s="38" t="s">
        <v>156</v>
      </c>
      <c r="B2" s="36" t="s">
        <v>157</v>
      </c>
      <c r="C2" s="39" t="s">
        <v>158</v>
      </c>
      <c r="D2" s="38" t="s">
        <v>159</v>
      </c>
      <c r="E2" s="36" t="s">
        <v>158</v>
      </c>
      <c r="F2" s="37" t="s">
        <v>160</v>
      </c>
    </row>
    <row r="3" spans="1:6" ht="16.5" customHeight="1" x14ac:dyDescent="0.35">
      <c r="A3" s="38" t="s">
        <v>161</v>
      </c>
      <c r="B3" s="36" t="s">
        <v>162</v>
      </c>
      <c r="C3" s="39" t="s">
        <v>163</v>
      </c>
      <c r="D3" s="38" t="s">
        <v>164</v>
      </c>
      <c r="E3" s="36" t="s">
        <v>163</v>
      </c>
      <c r="F3" s="37" t="s">
        <v>165</v>
      </c>
    </row>
    <row r="4" spans="1:6" ht="16.5" customHeight="1" x14ac:dyDescent="0.35">
      <c r="A4" s="38" t="s">
        <v>166</v>
      </c>
      <c r="B4" s="36" t="s">
        <v>159</v>
      </c>
      <c r="C4" s="39" t="s">
        <v>167</v>
      </c>
      <c r="D4" s="38" t="s">
        <v>168</v>
      </c>
      <c r="E4" s="36" t="s">
        <v>167</v>
      </c>
      <c r="F4" s="37" t="s">
        <v>169</v>
      </c>
    </row>
    <row r="5" spans="1:6" ht="16.5" customHeight="1" x14ac:dyDescent="0.35">
      <c r="A5" s="38" t="s">
        <v>170</v>
      </c>
      <c r="B5" s="36" t="s">
        <v>171</v>
      </c>
      <c r="C5" s="39" t="s">
        <v>172</v>
      </c>
      <c r="D5" s="38" t="s">
        <v>167</v>
      </c>
      <c r="E5" s="36" t="s">
        <v>173</v>
      </c>
      <c r="F5" s="37" t="s">
        <v>174</v>
      </c>
    </row>
    <row r="6" spans="1:6" ht="16.5" customHeight="1" x14ac:dyDescent="0.35">
      <c r="A6" s="38" t="s">
        <v>175</v>
      </c>
      <c r="B6" s="36" t="s">
        <v>176</v>
      </c>
      <c r="C6" s="39" t="s">
        <v>177</v>
      </c>
      <c r="D6" s="38" t="s">
        <v>178</v>
      </c>
      <c r="E6" s="36" t="s">
        <v>179</v>
      </c>
      <c r="F6" s="37" t="s">
        <v>180</v>
      </c>
    </row>
    <row r="7" spans="1:6" ht="16.5" customHeight="1" x14ac:dyDescent="0.35">
      <c r="A7" s="38" t="s">
        <v>181</v>
      </c>
      <c r="B7" s="36" t="s">
        <v>182</v>
      </c>
      <c r="C7" s="39" t="s">
        <v>183</v>
      </c>
      <c r="D7" s="38" t="s">
        <v>179</v>
      </c>
      <c r="E7" s="36" t="s">
        <v>184</v>
      </c>
      <c r="F7" s="37" t="s">
        <v>185</v>
      </c>
    </row>
    <row r="8" spans="1:6" ht="16.5" customHeight="1" x14ac:dyDescent="0.35">
      <c r="A8" s="38" t="s">
        <v>186</v>
      </c>
      <c r="B8" s="36" t="s">
        <v>187</v>
      </c>
      <c r="C8" s="39" t="s">
        <v>188</v>
      </c>
      <c r="D8" s="38" t="s">
        <v>189</v>
      </c>
      <c r="E8" s="36" t="s">
        <v>190</v>
      </c>
      <c r="F8" s="37" t="s">
        <v>191</v>
      </c>
    </row>
    <row r="9" spans="1:6" ht="16.5" customHeight="1" x14ac:dyDescent="0.35">
      <c r="A9" s="38" t="s">
        <v>192</v>
      </c>
      <c r="B9" s="36" t="s">
        <v>193</v>
      </c>
      <c r="C9" s="39" t="s">
        <v>194</v>
      </c>
      <c r="D9" s="38" t="s">
        <v>195</v>
      </c>
      <c r="E9" s="36" t="s">
        <v>196</v>
      </c>
      <c r="F9" s="37" t="s">
        <v>197</v>
      </c>
    </row>
    <row r="10" spans="1:6" ht="16.5" customHeight="1" x14ac:dyDescent="0.35">
      <c r="A10" s="38" t="s">
        <v>198</v>
      </c>
      <c r="B10" s="36" t="s">
        <v>199</v>
      </c>
      <c r="C10" s="39" t="s">
        <v>173</v>
      </c>
      <c r="D10" s="38" t="s">
        <v>200</v>
      </c>
      <c r="E10" s="36" t="s">
        <v>201</v>
      </c>
      <c r="F10" s="37" t="s">
        <v>202</v>
      </c>
    </row>
    <row r="11" spans="1:6" ht="16.5" customHeight="1" x14ac:dyDescent="0.35">
      <c r="A11" s="38" t="s">
        <v>203</v>
      </c>
      <c r="B11" s="36" t="s">
        <v>204</v>
      </c>
      <c r="C11" s="39" t="s">
        <v>179</v>
      </c>
      <c r="D11" s="38" t="s">
        <v>205</v>
      </c>
      <c r="E11" s="36" t="s">
        <v>206</v>
      </c>
      <c r="F11" s="37" t="s">
        <v>207</v>
      </c>
    </row>
    <row r="12" spans="1:6" ht="16.5" customHeight="1" x14ac:dyDescent="0.35">
      <c r="A12" s="38" t="s">
        <v>208</v>
      </c>
      <c r="B12" s="36" t="s">
        <v>209</v>
      </c>
      <c r="C12" s="39" t="s">
        <v>195</v>
      </c>
      <c r="D12" s="38" t="s">
        <v>210</v>
      </c>
      <c r="E12" s="36" t="s">
        <v>211</v>
      </c>
      <c r="F12" s="37" t="s">
        <v>212</v>
      </c>
    </row>
    <row r="13" spans="1:6" ht="16.5" customHeight="1" x14ac:dyDescent="0.35">
      <c r="A13" s="38" t="s">
        <v>213</v>
      </c>
      <c r="B13" s="36" t="s">
        <v>214</v>
      </c>
      <c r="C13" s="39" t="s">
        <v>184</v>
      </c>
      <c r="D13" s="38" t="s">
        <v>215</v>
      </c>
      <c r="E13" s="36" t="s">
        <v>216</v>
      </c>
      <c r="F13" s="37" t="s">
        <v>217</v>
      </c>
    </row>
    <row r="14" spans="1:6" ht="16.5" customHeight="1" x14ac:dyDescent="0.35">
      <c r="A14" s="38" t="s">
        <v>218</v>
      </c>
      <c r="B14" s="36" t="s">
        <v>219</v>
      </c>
      <c r="C14" s="39" t="s">
        <v>178</v>
      </c>
      <c r="D14" s="38" t="s">
        <v>220</v>
      </c>
      <c r="E14" s="36" t="s">
        <v>221</v>
      </c>
      <c r="F14" s="37" t="s">
        <v>222</v>
      </c>
    </row>
    <row r="15" spans="1:6" ht="16.5" customHeight="1" x14ac:dyDescent="0.35">
      <c r="A15" s="38" t="s">
        <v>223</v>
      </c>
      <c r="B15" s="36" t="s">
        <v>224</v>
      </c>
      <c r="C15" s="39" t="s">
        <v>189</v>
      </c>
      <c r="D15" s="38" t="s">
        <v>225</v>
      </c>
      <c r="E15" s="36" t="s">
        <v>226</v>
      </c>
      <c r="F15" s="39" t="s">
        <v>227</v>
      </c>
    </row>
    <row r="16" spans="1:6" ht="17.25" customHeight="1" x14ac:dyDescent="0.35">
      <c r="A16" s="38" t="s">
        <v>228</v>
      </c>
      <c r="B16" s="36" t="s">
        <v>229</v>
      </c>
      <c r="C16" s="39" t="s">
        <v>225</v>
      </c>
      <c r="D16" s="35" t="s">
        <v>230</v>
      </c>
      <c r="E16" s="36" t="s">
        <v>231</v>
      </c>
      <c r="F16" s="39" t="s">
        <v>232</v>
      </c>
    </row>
    <row r="17" spans="1:6" ht="16.5" customHeight="1" x14ac:dyDescent="0.35">
      <c r="A17" s="38" t="s">
        <v>233</v>
      </c>
      <c r="B17" s="36" t="s">
        <v>234</v>
      </c>
      <c r="C17" s="39" t="s">
        <v>215</v>
      </c>
      <c r="D17" s="38" t="s">
        <v>235</v>
      </c>
      <c r="E17" s="40" t="s">
        <v>168</v>
      </c>
      <c r="F17" s="39" t="s">
        <v>236</v>
      </c>
    </row>
    <row r="18" spans="1:6" ht="16.5" customHeight="1" x14ac:dyDescent="0.35">
      <c r="A18" s="38" t="s">
        <v>237</v>
      </c>
      <c r="B18" s="36" t="s">
        <v>238</v>
      </c>
      <c r="C18" s="39" t="s">
        <v>239</v>
      </c>
      <c r="D18" s="37"/>
      <c r="E18" s="40" t="s">
        <v>240</v>
      </c>
      <c r="F18" s="39" t="s">
        <v>241</v>
      </c>
    </row>
    <row r="19" spans="1:6" ht="16.5" customHeight="1" x14ac:dyDescent="0.35">
      <c r="A19" s="38" t="s">
        <v>242</v>
      </c>
      <c r="B19" s="36" t="s">
        <v>243</v>
      </c>
      <c r="C19" s="39" t="s">
        <v>244</v>
      </c>
      <c r="D19" s="37"/>
      <c r="E19" s="40" t="s">
        <v>230</v>
      </c>
      <c r="F19" s="39" t="s">
        <v>245</v>
      </c>
    </row>
    <row r="20" spans="1:6" ht="17.25" customHeight="1" x14ac:dyDescent="0.35">
      <c r="A20" s="38" t="s">
        <v>246</v>
      </c>
      <c r="B20" s="36" t="s">
        <v>247</v>
      </c>
      <c r="C20" s="39" t="s">
        <v>168</v>
      </c>
      <c r="D20" s="37"/>
      <c r="E20" s="40" t="s">
        <v>248</v>
      </c>
      <c r="F20" s="39" t="s">
        <v>249</v>
      </c>
    </row>
    <row r="21" spans="1:6" ht="16.5" customHeight="1" x14ac:dyDescent="0.35">
      <c r="A21" s="41"/>
      <c r="B21" s="36" t="s">
        <v>250</v>
      </c>
      <c r="C21" s="39" t="s">
        <v>251</v>
      </c>
      <c r="D21" s="37"/>
      <c r="E21" s="40" t="s">
        <v>252</v>
      </c>
      <c r="F21" s="37"/>
    </row>
    <row r="22" spans="1:6" ht="16.5" customHeight="1" x14ac:dyDescent="0.35">
      <c r="A22" s="41"/>
      <c r="B22" s="36" t="s">
        <v>253</v>
      </c>
      <c r="C22" s="36"/>
      <c r="D22" s="37"/>
      <c r="E22" s="40" t="s">
        <v>254</v>
      </c>
      <c r="F22" s="37"/>
    </row>
    <row r="23" spans="1:6" ht="17.25" customHeight="1" x14ac:dyDescent="0.35">
      <c r="A23" s="41"/>
      <c r="B23" s="36" t="s">
        <v>255</v>
      </c>
      <c r="C23" s="36"/>
      <c r="D23" s="37"/>
      <c r="E23" s="40" t="s">
        <v>256</v>
      </c>
      <c r="F23" s="37"/>
    </row>
    <row r="24" spans="1:6" ht="16.5" customHeight="1" x14ac:dyDescent="0.35">
      <c r="A24" s="41"/>
      <c r="B24" s="36" t="s">
        <v>257</v>
      </c>
      <c r="C24" s="36"/>
      <c r="D24" s="37"/>
      <c r="E24" s="40" t="s">
        <v>258</v>
      </c>
      <c r="F24" s="37"/>
    </row>
    <row r="25" spans="1:6" ht="17.25" customHeight="1" x14ac:dyDescent="0.35">
      <c r="A25" s="41"/>
      <c r="B25" s="36" t="s">
        <v>259</v>
      </c>
      <c r="C25" s="36"/>
      <c r="D25" s="37"/>
      <c r="E25" s="40" t="s">
        <v>260</v>
      </c>
      <c r="F25" s="37"/>
    </row>
    <row r="26" spans="1:6" ht="16.5" customHeight="1" x14ac:dyDescent="0.35">
      <c r="A26" s="41"/>
      <c r="B26" s="36" t="s">
        <v>261</v>
      </c>
      <c r="C26" s="36"/>
      <c r="D26" s="37"/>
      <c r="E26" s="40" t="s">
        <v>164</v>
      </c>
      <c r="F26" s="37"/>
    </row>
    <row r="27" spans="1:6" ht="16.5" customHeight="1" x14ac:dyDescent="0.35">
      <c r="A27" s="41"/>
      <c r="B27" s="36" t="s">
        <v>262</v>
      </c>
      <c r="C27" s="36"/>
      <c r="D27" s="37"/>
      <c r="E27" s="36" t="s">
        <v>263</v>
      </c>
      <c r="F27" s="37"/>
    </row>
    <row r="28" spans="1:6" ht="17.25" customHeight="1" x14ac:dyDescent="0.35">
      <c r="A28" s="41"/>
      <c r="B28" s="37"/>
      <c r="C28" s="37"/>
      <c r="D28" s="37"/>
      <c r="E28" s="36" t="s">
        <v>264</v>
      </c>
      <c r="F28" s="37"/>
    </row>
    <row r="29" spans="1:6" ht="16.5" customHeight="1" x14ac:dyDescent="0.35">
      <c r="A29" s="41"/>
      <c r="B29" s="37"/>
      <c r="C29" s="37"/>
      <c r="D29" s="37"/>
      <c r="E29" s="36" t="s">
        <v>265</v>
      </c>
      <c r="F29" s="37"/>
    </row>
    <row r="30" spans="1:6" ht="17.25" customHeight="1" x14ac:dyDescent="0.35">
      <c r="A30" s="41"/>
      <c r="B30" s="37"/>
      <c r="C30" s="37"/>
      <c r="D30" s="37"/>
      <c r="E30" s="36" t="s">
        <v>266</v>
      </c>
      <c r="F30" s="37"/>
    </row>
    <row r="31" spans="1:6" ht="16.5" customHeight="1" x14ac:dyDescent="0.35">
      <c r="A31" s="42"/>
    </row>
    <row r="32" spans="1:6" ht="16.5" customHeight="1" x14ac:dyDescent="0.35">
      <c r="A32" s="42"/>
    </row>
    <row r="33" spans="1:1" ht="17.25" customHeight="1" x14ac:dyDescent="0.35">
      <c r="A33" s="42"/>
    </row>
    <row r="34" spans="1:1" ht="16.5" customHeight="1" x14ac:dyDescent="0.35">
      <c r="A34" s="42"/>
    </row>
    <row r="35" spans="1:1" ht="17.25" customHeight="1" x14ac:dyDescent="0.35">
      <c r="A35" s="42"/>
    </row>
    <row r="36" spans="1:1" ht="16.5" customHeight="1" x14ac:dyDescent="0.35">
      <c r="A36" s="42"/>
    </row>
    <row r="37" spans="1:1" ht="16.5" customHeight="1" x14ac:dyDescent="0.35">
      <c r="A37" s="42"/>
    </row>
    <row r="38" spans="1:1" ht="16.5" customHeight="1" x14ac:dyDescent="0.35">
      <c r="A38" s="42"/>
    </row>
    <row r="39" spans="1:1" ht="16.5" customHeight="1" x14ac:dyDescent="0.35">
      <c r="A39" s="42"/>
    </row>
    <row r="40" spans="1:1" ht="16.5" customHeight="1" x14ac:dyDescent="0.35"/>
    <row r="41" spans="1:1" ht="16.5" customHeight="1" x14ac:dyDescent="0.35"/>
    <row r="42" spans="1:1" ht="16.5" customHeight="1" x14ac:dyDescent="0.35"/>
    <row r="43" spans="1:1" ht="16.5" customHeight="1" x14ac:dyDescent="0.35"/>
    <row r="44" spans="1:1" ht="16.5" customHeight="1" x14ac:dyDescent="0.35"/>
    <row r="45" spans="1:1" ht="16.5" customHeight="1" x14ac:dyDescent="0.35"/>
    <row r="46" spans="1:1" ht="16.5" customHeight="1" x14ac:dyDescent="0.35"/>
    <row r="47" spans="1:1" ht="16.5" customHeight="1" x14ac:dyDescent="0.35"/>
    <row r="48" spans="1:1" ht="16.5" customHeight="1" x14ac:dyDescent="0.35"/>
    <row r="49" ht="16.5" customHeight="1" x14ac:dyDescent="0.35"/>
    <row r="50" ht="16.5" customHeight="1" x14ac:dyDescent="0.35"/>
    <row r="51" ht="16.5" customHeight="1" x14ac:dyDescent="0.35"/>
    <row r="52" ht="16.5" customHeight="1" x14ac:dyDescent="0.35"/>
    <row r="53" ht="16.5" customHeight="1" x14ac:dyDescent="0.35"/>
    <row r="54" ht="16.5" customHeight="1" x14ac:dyDescent="0.35"/>
    <row r="55" ht="16.5" customHeight="1" x14ac:dyDescent="0.35"/>
    <row r="56" ht="16.5" customHeight="1" x14ac:dyDescent="0.35"/>
    <row r="57" ht="16.5" customHeight="1" x14ac:dyDescent="0.35"/>
    <row r="58" ht="16.5" customHeight="1" x14ac:dyDescent="0.35"/>
    <row r="59" ht="16.5" customHeight="1" x14ac:dyDescent="0.35"/>
    <row r="60" ht="16.5" customHeight="1" x14ac:dyDescent="0.35"/>
    <row r="61" ht="16.5" customHeight="1" x14ac:dyDescent="0.35"/>
    <row r="62" ht="16.5" customHeight="1" x14ac:dyDescent="0.35"/>
    <row r="63" ht="16.5" customHeight="1" x14ac:dyDescent="0.35"/>
    <row r="64" ht="16.5" customHeight="1" x14ac:dyDescent="0.35"/>
    <row r="65" ht="16.5" customHeight="1" x14ac:dyDescent="0.35"/>
    <row r="66" ht="16.5" customHeight="1" x14ac:dyDescent="0.35"/>
    <row r="67" ht="16.5" customHeight="1" x14ac:dyDescent="0.35"/>
    <row r="68" ht="16.5" customHeight="1" x14ac:dyDescent="0.35"/>
    <row r="69" ht="16.5" customHeight="1" x14ac:dyDescent="0.35"/>
    <row r="70" ht="16.5" customHeight="1" x14ac:dyDescent="0.35"/>
    <row r="71" ht="16.5" customHeight="1" x14ac:dyDescent="0.35"/>
    <row r="72" ht="16.5" customHeight="1" x14ac:dyDescent="0.35"/>
    <row r="73" ht="16.5" customHeight="1" x14ac:dyDescent="0.35"/>
    <row r="74" ht="16.5" customHeight="1" x14ac:dyDescent="0.35"/>
    <row r="75" ht="16.5" customHeight="1" x14ac:dyDescent="0.35"/>
    <row r="76" ht="16.5" customHeight="1" x14ac:dyDescent="0.35"/>
    <row r="77" ht="16.5" customHeight="1" x14ac:dyDescent="0.35"/>
    <row r="78" ht="16.5" customHeight="1" x14ac:dyDescent="0.35"/>
    <row r="79" ht="16.5" customHeight="1" x14ac:dyDescent="0.35"/>
    <row r="80" ht="16.5" customHeight="1" x14ac:dyDescent="0.35"/>
    <row r="81" ht="16.5" customHeight="1" x14ac:dyDescent="0.35"/>
    <row r="82" ht="16.5" customHeight="1" x14ac:dyDescent="0.35"/>
    <row r="83" ht="16.5" customHeight="1" x14ac:dyDescent="0.35"/>
    <row r="84" ht="16.5" customHeight="1" x14ac:dyDescent="0.35"/>
    <row r="85" ht="16.5" customHeight="1" x14ac:dyDescent="0.35"/>
    <row r="86" ht="16.5" customHeight="1" x14ac:dyDescent="0.35"/>
    <row r="87" ht="16.5" customHeight="1" x14ac:dyDescent="0.35"/>
    <row r="88" ht="16.5" customHeight="1" x14ac:dyDescent="0.35"/>
    <row r="89" ht="16.5" customHeight="1" x14ac:dyDescent="0.35"/>
    <row r="90" ht="16.5" customHeight="1" x14ac:dyDescent="0.35"/>
    <row r="91" ht="16.5" customHeight="1" x14ac:dyDescent="0.35"/>
    <row r="92" ht="16.5" customHeight="1" x14ac:dyDescent="0.35"/>
    <row r="93" ht="16.5" customHeight="1" x14ac:dyDescent="0.35"/>
    <row r="94" ht="16.5" customHeight="1" x14ac:dyDescent="0.35"/>
    <row r="95" ht="16.5" customHeight="1" x14ac:dyDescent="0.35"/>
    <row r="96" ht="16.5" customHeight="1" x14ac:dyDescent="0.35"/>
    <row r="97" ht="16.5" customHeight="1" x14ac:dyDescent="0.35"/>
    <row r="98" ht="16.5" customHeight="1" x14ac:dyDescent="0.35"/>
    <row r="99" ht="16.5" customHeight="1" x14ac:dyDescent="0.35"/>
    <row r="100" ht="16.5" customHeight="1" x14ac:dyDescent="0.35"/>
    <row r="101" ht="16.5" customHeight="1" x14ac:dyDescent="0.35"/>
    <row r="102" ht="16.5" customHeight="1" x14ac:dyDescent="0.35"/>
    <row r="103" ht="16.5" customHeight="1" x14ac:dyDescent="0.35"/>
    <row r="104" ht="16.5" customHeight="1" x14ac:dyDescent="0.35"/>
    <row r="105" ht="16.5" customHeight="1" x14ac:dyDescent="0.35"/>
    <row r="106" ht="16.5" customHeight="1" x14ac:dyDescent="0.35"/>
    <row r="107" ht="16.5" customHeight="1" x14ac:dyDescent="0.35"/>
    <row r="108" ht="16.5" customHeight="1" x14ac:dyDescent="0.35"/>
    <row r="109" ht="16.5" customHeight="1" x14ac:dyDescent="0.35"/>
    <row r="110" ht="16.5" customHeight="1" x14ac:dyDescent="0.35"/>
    <row r="111" ht="16.5" customHeight="1" x14ac:dyDescent="0.35"/>
    <row r="112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  <row r="162" ht="16.5" customHeight="1" x14ac:dyDescent="0.35"/>
    <row r="163" ht="16.5" customHeight="1" x14ac:dyDescent="0.35"/>
    <row r="164" ht="16.5" customHeight="1" x14ac:dyDescent="0.35"/>
    <row r="165" ht="16.5" customHeight="1" x14ac:dyDescent="0.35"/>
    <row r="166" ht="16.5" customHeight="1" x14ac:dyDescent="0.35"/>
    <row r="167" ht="16.5" customHeight="1" x14ac:dyDescent="0.35"/>
    <row r="168" ht="16.5" customHeight="1" x14ac:dyDescent="0.35"/>
    <row r="169" ht="16.5" customHeight="1" x14ac:dyDescent="0.35"/>
    <row r="170" ht="16.5" customHeight="1" x14ac:dyDescent="0.35"/>
    <row r="171" ht="16.5" customHeight="1" x14ac:dyDescent="0.35"/>
    <row r="172" ht="16.5" customHeight="1" x14ac:dyDescent="0.35"/>
    <row r="173" ht="16.5" customHeight="1" x14ac:dyDescent="0.35"/>
    <row r="174" ht="16.5" customHeight="1" x14ac:dyDescent="0.35"/>
    <row r="175" ht="16.5" customHeight="1" x14ac:dyDescent="0.35"/>
    <row r="176" ht="16.5" customHeight="1" x14ac:dyDescent="0.35"/>
    <row r="177" ht="16.5" customHeight="1" x14ac:dyDescent="0.35"/>
    <row r="178" ht="16.5" customHeight="1" x14ac:dyDescent="0.35"/>
    <row r="179" ht="16.5" customHeight="1" x14ac:dyDescent="0.35"/>
    <row r="180" ht="16.5" customHeight="1" x14ac:dyDescent="0.35"/>
    <row r="181" ht="16.5" customHeight="1" x14ac:dyDescent="0.35"/>
    <row r="182" ht="16.5" customHeight="1" x14ac:dyDescent="0.35"/>
    <row r="183" ht="16.5" customHeight="1" x14ac:dyDescent="0.35"/>
    <row r="184" ht="16.5" customHeight="1" x14ac:dyDescent="0.35"/>
    <row r="185" ht="16.5" customHeight="1" x14ac:dyDescent="0.35"/>
    <row r="186" ht="16.5" customHeight="1" x14ac:dyDescent="0.35"/>
    <row r="187" ht="16.5" customHeight="1" x14ac:dyDescent="0.35"/>
    <row r="188" ht="16.5" customHeight="1" x14ac:dyDescent="0.35"/>
    <row r="189" ht="16.5" customHeight="1" x14ac:dyDescent="0.35"/>
    <row r="190" ht="16.5" customHeight="1" x14ac:dyDescent="0.35"/>
    <row r="191" ht="16.5" customHeight="1" x14ac:dyDescent="0.35"/>
    <row r="192" ht="16.5" customHeight="1" x14ac:dyDescent="0.35"/>
    <row r="193" ht="16.5" customHeight="1" x14ac:dyDescent="0.35"/>
    <row r="194" ht="16.5" customHeight="1" x14ac:dyDescent="0.35"/>
    <row r="195" ht="16.5" customHeight="1" x14ac:dyDescent="0.35"/>
    <row r="196" ht="16.5" customHeight="1" x14ac:dyDescent="0.35"/>
    <row r="197" ht="16.5" customHeight="1" x14ac:dyDescent="0.35"/>
    <row r="198" ht="16.5" customHeight="1" x14ac:dyDescent="0.35"/>
    <row r="199" ht="16.5" customHeight="1" x14ac:dyDescent="0.35"/>
    <row r="200" ht="16.5" customHeight="1" x14ac:dyDescent="0.35"/>
    <row r="201" ht="16.5" customHeight="1" x14ac:dyDescent="0.35"/>
    <row r="202" ht="16.5" customHeight="1" x14ac:dyDescent="0.35"/>
    <row r="203" ht="16.5" customHeight="1" x14ac:dyDescent="0.35"/>
    <row r="204" ht="16.5" customHeight="1" x14ac:dyDescent="0.35"/>
    <row r="205" ht="16.5" customHeight="1" x14ac:dyDescent="0.35"/>
    <row r="206" ht="16.5" customHeight="1" x14ac:dyDescent="0.35"/>
    <row r="207" ht="16.5" customHeight="1" x14ac:dyDescent="0.35"/>
    <row r="208" ht="16.5" customHeight="1" x14ac:dyDescent="0.35"/>
    <row r="209" ht="16.5" customHeight="1" x14ac:dyDescent="0.35"/>
    <row r="210" ht="16.5" customHeight="1" x14ac:dyDescent="0.35"/>
    <row r="211" ht="16.5" customHeight="1" x14ac:dyDescent="0.35"/>
    <row r="212" ht="16.5" customHeight="1" x14ac:dyDescent="0.35"/>
    <row r="213" ht="16.5" customHeight="1" x14ac:dyDescent="0.35"/>
    <row r="214" ht="16.5" customHeight="1" x14ac:dyDescent="0.35"/>
    <row r="215" ht="16.5" customHeight="1" x14ac:dyDescent="0.35"/>
    <row r="216" ht="16.5" customHeight="1" x14ac:dyDescent="0.35"/>
    <row r="217" ht="16.5" customHeight="1" x14ac:dyDescent="0.35"/>
    <row r="218" ht="16.5" customHeight="1" x14ac:dyDescent="0.35"/>
    <row r="219" ht="16.5" customHeight="1" x14ac:dyDescent="0.35"/>
    <row r="220" ht="16.5" customHeight="1" x14ac:dyDescent="0.35"/>
    <row r="221" ht="16.5" customHeight="1" x14ac:dyDescent="0.35"/>
    <row r="222" ht="16.5" customHeight="1" x14ac:dyDescent="0.35"/>
    <row r="223" ht="16.5" customHeight="1" x14ac:dyDescent="0.35"/>
    <row r="224" ht="16.5" customHeight="1" x14ac:dyDescent="0.35"/>
    <row r="225" ht="16.5" customHeight="1" x14ac:dyDescent="0.35"/>
    <row r="226" ht="16.5" customHeight="1" x14ac:dyDescent="0.35"/>
    <row r="227" ht="16.5" customHeight="1" x14ac:dyDescent="0.35"/>
    <row r="228" ht="16.5" customHeight="1" x14ac:dyDescent="0.35"/>
    <row r="229" ht="16.5" customHeight="1" x14ac:dyDescent="0.35"/>
    <row r="230" ht="16.5" customHeight="1" x14ac:dyDescent="0.35"/>
    <row r="231" ht="16.5" customHeight="1" x14ac:dyDescent="0.35"/>
    <row r="232" ht="16.5" customHeight="1" x14ac:dyDescent="0.35"/>
    <row r="233" ht="16.5" customHeight="1" x14ac:dyDescent="0.35"/>
    <row r="234" ht="16.5" customHeight="1" x14ac:dyDescent="0.35"/>
    <row r="235" ht="16.5" customHeight="1" x14ac:dyDescent="0.35"/>
    <row r="236" ht="16.5" customHeight="1" x14ac:dyDescent="0.35"/>
    <row r="237" ht="16.5" customHeight="1" x14ac:dyDescent="0.35"/>
    <row r="238" ht="16.5" customHeight="1" x14ac:dyDescent="0.35"/>
    <row r="239" ht="16.5" customHeight="1" x14ac:dyDescent="0.35"/>
    <row r="240" ht="16.5" customHeight="1" x14ac:dyDescent="0.35"/>
    <row r="241" ht="16.5" customHeight="1" x14ac:dyDescent="0.35"/>
    <row r="242" ht="16.5" customHeight="1" x14ac:dyDescent="0.35"/>
    <row r="243" ht="16.5" customHeight="1" x14ac:dyDescent="0.35"/>
    <row r="244" ht="16.5" customHeight="1" x14ac:dyDescent="0.35"/>
    <row r="245" ht="16.5" customHeight="1" x14ac:dyDescent="0.35"/>
    <row r="246" ht="16.5" customHeight="1" x14ac:dyDescent="0.35"/>
    <row r="247" ht="16.5" customHeight="1" x14ac:dyDescent="0.35"/>
    <row r="248" ht="16.5" customHeight="1" x14ac:dyDescent="0.35"/>
    <row r="249" ht="16.5" customHeight="1" x14ac:dyDescent="0.35"/>
    <row r="250" ht="16.5" customHeight="1" x14ac:dyDescent="0.35"/>
    <row r="251" ht="16.5" customHeight="1" x14ac:dyDescent="0.35"/>
    <row r="252" ht="16.5" customHeight="1" x14ac:dyDescent="0.35"/>
    <row r="253" ht="16.5" customHeight="1" x14ac:dyDescent="0.35"/>
    <row r="254" ht="16.5" customHeight="1" x14ac:dyDescent="0.35"/>
    <row r="255" ht="16.5" customHeight="1" x14ac:dyDescent="0.35"/>
    <row r="25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  <row r="452" ht="16.5" customHeight="1" x14ac:dyDescent="0.35"/>
    <row r="453" ht="16.5" customHeight="1" x14ac:dyDescent="0.35"/>
    <row r="454" ht="16.5" customHeight="1" x14ac:dyDescent="0.35"/>
    <row r="455" ht="16.5" customHeight="1" x14ac:dyDescent="0.35"/>
    <row r="456" ht="16.5" customHeight="1" x14ac:dyDescent="0.35"/>
    <row r="457" ht="16.5" customHeight="1" x14ac:dyDescent="0.35"/>
    <row r="458" ht="16.5" customHeight="1" x14ac:dyDescent="0.35"/>
    <row r="459" ht="16.5" customHeight="1" x14ac:dyDescent="0.35"/>
    <row r="460" ht="16.5" customHeight="1" x14ac:dyDescent="0.35"/>
    <row r="461" ht="16.5" customHeight="1" x14ac:dyDescent="0.35"/>
    <row r="462" ht="16.5" customHeight="1" x14ac:dyDescent="0.35"/>
    <row r="463" ht="16.5" customHeight="1" x14ac:dyDescent="0.35"/>
    <row r="464" ht="16.5" customHeight="1" x14ac:dyDescent="0.35"/>
    <row r="465" ht="16.5" customHeight="1" x14ac:dyDescent="0.35"/>
    <row r="466" ht="16.5" customHeight="1" x14ac:dyDescent="0.35"/>
    <row r="467" ht="16.5" customHeight="1" x14ac:dyDescent="0.35"/>
    <row r="468" ht="16.5" customHeight="1" x14ac:dyDescent="0.35"/>
    <row r="469" ht="16.5" customHeight="1" x14ac:dyDescent="0.35"/>
    <row r="470" ht="16.5" customHeight="1" x14ac:dyDescent="0.35"/>
    <row r="471" ht="16.5" customHeight="1" x14ac:dyDescent="0.35"/>
    <row r="472" ht="16.5" customHeight="1" x14ac:dyDescent="0.35"/>
    <row r="473" ht="16.5" customHeight="1" x14ac:dyDescent="0.35"/>
    <row r="474" ht="16.5" customHeight="1" x14ac:dyDescent="0.35"/>
    <row r="475" ht="16.5" customHeight="1" x14ac:dyDescent="0.35"/>
    <row r="476" ht="16.5" customHeight="1" x14ac:dyDescent="0.35"/>
    <row r="477" ht="16.5" customHeight="1" x14ac:dyDescent="0.35"/>
    <row r="478" ht="16.5" customHeight="1" x14ac:dyDescent="0.35"/>
    <row r="479" ht="16.5" customHeight="1" x14ac:dyDescent="0.35"/>
    <row r="480" ht="16.5" customHeight="1" x14ac:dyDescent="0.35"/>
    <row r="481" ht="16.5" customHeight="1" x14ac:dyDescent="0.35"/>
    <row r="482" ht="16.5" customHeight="1" x14ac:dyDescent="0.35"/>
    <row r="483" ht="16.5" customHeight="1" x14ac:dyDescent="0.35"/>
    <row r="484" ht="16.5" customHeight="1" x14ac:dyDescent="0.35"/>
    <row r="485" ht="16.5" customHeight="1" x14ac:dyDescent="0.35"/>
    <row r="486" ht="16.5" customHeight="1" x14ac:dyDescent="0.35"/>
    <row r="487" ht="16.5" customHeight="1" x14ac:dyDescent="0.35"/>
    <row r="488" ht="16.5" customHeight="1" x14ac:dyDescent="0.35"/>
    <row r="489" ht="16.5" customHeight="1" x14ac:dyDescent="0.35"/>
    <row r="490" ht="16.5" customHeight="1" x14ac:dyDescent="0.35"/>
    <row r="491" ht="16.5" customHeight="1" x14ac:dyDescent="0.35"/>
    <row r="492" ht="16.5" customHeight="1" x14ac:dyDescent="0.35"/>
    <row r="493" ht="16.5" customHeight="1" x14ac:dyDescent="0.35"/>
    <row r="494" ht="16.5" customHeight="1" x14ac:dyDescent="0.35"/>
    <row r="495" ht="16.5" customHeight="1" x14ac:dyDescent="0.35"/>
    <row r="496" ht="16.5" customHeight="1" x14ac:dyDescent="0.35"/>
    <row r="497" ht="16.5" customHeight="1" x14ac:dyDescent="0.35"/>
    <row r="498" ht="16.5" customHeight="1" x14ac:dyDescent="0.35"/>
    <row r="499" ht="16.5" customHeight="1" x14ac:dyDescent="0.35"/>
    <row r="500" ht="16.5" customHeight="1" x14ac:dyDescent="0.35"/>
    <row r="501" ht="16.5" customHeight="1" x14ac:dyDescent="0.35"/>
    <row r="502" ht="16.5" customHeight="1" x14ac:dyDescent="0.35"/>
    <row r="503" ht="16.5" customHeight="1" x14ac:dyDescent="0.35"/>
    <row r="504" ht="16.5" customHeight="1" x14ac:dyDescent="0.35"/>
    <row r="505" ht="16.5" customHeight="1" x14ac:dyDescent="0.35"/>
    <row r="506" ht="16.5" customHeight="1" x14ac:dyDescent="0.35"/>
    <row r="507" ht="16.5" customHeight="1" x14ac:dyDescent="0.35"/>
    <row r="508" ht="16.5" customHeight="1" x14ac:dyDescent="0.35"/>
    <row r="509" ht="16.5" customHeight="1" x14ac:dyDescent="0.35"/>
    <row r="510" ht="16.5" customHeight="1" x14ac:dyDescent="0.35"/>
    <row r="511" ht="16.5" customHeight="1" x14ac:dyDescent="0.35"/>
    <row r="512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  <row r="993" ht="16.5" customHeight="1" x14ac:dyDescent="0.35"/>
    <row r="994" ht="16.5" customHeight="1" x14ac:dyDescent="0.35"/>
    <row r="995" ht="16.5" customHeight="1" x14ac:dyDescent="0.35"/>
    <row r="996" ht="16.5" customHeight="1" x14ac:dyDescent="0.35"/>
    <row r="997" ht="16.5" customHeight="1" x14ac:dyDescent="0.35"/>
    <row r="998" ht="16.5" customHeight="1" x14ac:dyDescent="0.35"/>
    <row r="999" ht="16.5" customHeight="1" x14ac:dyDescent="0.35"/>
    <row r="1000" ht="16.5" customHeight="1" x14ac:dyDescent="0.35"/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2:AG32"/>
  <sheetViews>
    <sheetView topLeftCell="B3" zoomScale="90" zoomScaleNormal="90" workbookViewId="0">
      <selection activeCell="F11" sqref="F10:AG11"/>
    </sheetView>
  </sheetViews>
  <sheetFormatPr defaultColWidth="8.796875" defaultRowHeight="15" x14ac:dyDescent="0.35"/>
  <cols>
    <col min="1" max="1" width="65.19921875" style="43" customWidth="1"/>
    <col min="2" max="2" width="8.796875" style="43"/>
    <col min="3" max="3" width="11.46484375" style="43" customWidth="1"/>
    <col min="4" max="6" width="8.796875" style="11"/>
    <col min="7" max="7" width="3.19921875" style="11" bestFit="1" customWidth="1"/>
    <col min="8" max="17" width="4.46484375" style="11" bestFit="1" customWidth="1"/>
    <col min="18" max="33" width="5.53125" style="11" bestFit="1" customWidth="1"/>
    <col min="34" max="16384" width="8.796875" style="11"/>
  </cols>
  <sheetData>
    <row r="2" spans="1:33" ht="16.5" thickBot="1" x14ac:dyDescent="0.4">
      <c r="A2" s="44" t="s">
        <v>267</v>
      </c>
    </row>
    <row r="3" spans="1:33" ht="21" thickBot="1" x14ac:dyDescent="0.4">
      <c r="A3" s="45" t="s">
        <v>269</v>
      </c>
      <c r="B3" s="46" t="s">
        <v>270</v>
      </c>
      <c r="C3" s="46" t="s">
        <v>271</v>
      </c>
      <c r="E3" s="118" t="s">
        <v>268</v>
      </c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20"/>
    </row>
    <row r="4" spans="1:33" ht="16.5" thickBot="1" x14ac:dyDescent="0.4">
      <c r="A4" s="47" t="s">
        <v>272</v>
      </c>
      <c r="B4" s="48" t="s">
        <v>273</v>
      </c>
      <c r="C4" s="49">
        <v>1</v>
      </c>
      <c r="E4" s="121"/>
      <c r="F4" s="56" t="s">
        <v>276</v>
      </c>
      <c r="G4" s="124" t="s">
        <v>303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5"/>
    </row>
    <row r="5" spans="1:33" ht="16.5" thickBot="1" x14ac:dyDescent="0.4">
      <c r="A5" s="47" t="s">
        <v>274</v>
      </c>
      <c r="B5" s="48" t="s">
        <v>5</v>
      </c>
      <c r="C5" s="49">
        <v>2</v>
      </c>
      <c r="E5" s="122"/>
      <c r="F5" s="56" t="s">
        <v>277</v>
      </c>
      <c r="G5" s="124" t="s">
        <v>303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5"/>
    </row>
    <row r="6" spans="1:33" ht="16.5" thickBot="1" x14ac:dyDescent="0.4">
      <c r="A6" s="47" t="s">
        <v>275</v>
      </c>
      <c r="B6" s="48" t="s">
        <v>6</v>
      </c>
      <c r="C6" s="49">
        <v>3</v>
      </c>
      <c r="E6" s="122"/>
      <c r="F6" s="56" t="s">
        <v>279</v>
      </c>
      <c r="G6" s="124" t="s">
        <v>303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5"/>
    </row>
    <row r="7" spans="1:33" ht="15.4" x14ac:dyDescent="0.35">
      <c r="E7" s="123"/>
      <c r="F7" s="56" t="s">
        <v>304</v>
      </c>
      <c r="G7" s="57">
        <v>1</v>
      </c>
      <c r="H7" s="57">
        <v>2</v>
      </c>
      <c r="I7" s="57">
        <v>3</v>
      </c>
      <c r="J7" s="57">
        <v>4</v>
      </c>
      <c r="K7" s="57">
        <v>5</v>
      </c>
      <c r="L7" s="57">
        <v>6</v>
      </c>
      <c r="M7" s="57">
        <v>7</v>
      </c>
      <c r="N7" s="57">
        <v>8</v>
      </c>
      <c r="O7" s="57">
        <v>9</v>
      </c>
      <c r="P7" s="57">
        <v>10</v>
      </c>
      <c r="Q7" s="57">
        <v>11</v>
      </c>
      <c r="R7" s="57">
        <v>12</v>
      </c>
      <c r="S7" s="57">
        <v>13</v>
      </c>
      <c r="T7" s="57">
        <v>14</v>
      </c>
      <c r="U7" s="57">
        <v>15</v>
      </c>
      <c r="V7" s="57">
        <v>16</v>
      </c>
      <c r="W7" s="57">
        <v>17</v>
      </c>
      <c r="X7" s="57">
        <v>18</v>
      </c>
      <c r="Y7" s="57">
        <v>19</v>
      </c>
      <c r="Z7" s="57">
        <v>20</v>
      </c>
      <c r="AA7" s="57">
        <v>21</v>
      </c>
      <c r="AB7" s="57">
        <v>22</v>
      </c>
      <c r="AC7" s="57">
        <v>23</v>
      </c>
      <c r="AD7" s="57">
        <v>24</v>
      </c>
      <c r="AE7" s="57">
        <v>25</v>
      </c>
      <c r="AF7" s="57">
        <v>26</v>
      </c>
      <c r="AG7" s="58">
        <v>27</v>
      </c>
    </row>
    <row r="8" spans="1:33" ht="16.5" thickBot="1" x14ac:dyDescent="0.4">
      <c r="A8" s="44" t="s">
        <v>278</v>
      </c>
      <c r="E8" s="126" t="s">
        <v>305</v>
      </c>
      <c r="F8" s="57">
        <v>1</v>
      </c>
      <c r="G8" s="59">
        <f>G$7*$F$8</f>
        <v>1</v>
      </c>
      <c r="H8" s="59">
        <f t="shared" ref="H8:AG8" si="0">H$7*$F$8</f>
        <v>2</v>
      </c>
      <c r="I8" s="59">
        <f t="shared" si="0"/>
        <v>3</v>
      </c>
      <c r="J8" s="59">
        <f t="shared" si="0"/>
        <v>4</v>
      </c>
      <c r="K8" s="59">
        <f t="shared" si="0"/>
        <v>5</v>
      </c>
      <c r="L8" s="59">
        <f t="shared" si="0"/>
        <v>6</v>
      </c>
      <c r="M8" s="59">
        <f t="shared" si="0"/>
        <v>7</v>
      </c>
      <c r="N8" s="59">
        <f t="shared" si="0"/>
        <v>8</v>
      </c>
      <c r="O8" s="59">
        <f t="shared" si="0"/>
        <v>9</v>
      </c>
      <c r="P8" s="59">
        <f t="shared" si="0"/>
        <v>10</v>
      </c>
      <c r="Q8" s="59">
        <f t="shared" si="0"/>
        <v>11</v>
      </c>
      <c r="R8" s="59">
        <f t="shared" si="0"/>
        <v>12</v>
      </c>
      <c r="S8" s="59">
        <f t="shared" si="0"/>
        <v>13</v>
      </c>
      <c r="T8" s="59">
        <f t="shared" si="0"/>
        <v>14</v>
      </c>
      <c r="U8" s="59">
        <f t="shared" si="0"/>
        <v>15</v>
      </c>
      <c r="V8" s="59">
        <f t="shared" si="0"/>
        <v>16</v>
      </c>
      <c r="W8" s="59">
        <f t="shared" si="0"/>
        <v>17</v>
      </c>
      <c r="X8" s="59">
        <f t="shared" si="0"/>
        <v>18</v>
      </c>
      <c r="Y8" s="59">
        <f t="shared" si="0"/>
        <v>19</v>
      </c>
      <c r="Z8" s="59">
        <f t="shared" si="0"/>
        <v>20</v>
      </c>
      <c r="AA8" s="59">
        <f t="shared" si="0"/>
        <v>21</v>
      </c>
      <c r="AB8" s="59">
        <f t="shared" si="0"/>
        <v>22</v>
      </c>
      <c r="AC8" s="59">
        <f t="shared" si="0"/>
        <v>23</v>
      </c>
      <c r="AD8" s="59">
        <f t="shared" si="0"/>
        <v>24</v>
      </c>
      <c r="AE8" s="59">
        <f t="shared" si="0"/>
        <v>25</v>
      </c>
      <c r="AF8" s="59">
        <f t="shared" si="0"/>
        <v>26</v>
      </c>
      <c r="AG8" s="59">
        <f t="shared" si="0"/>
        <v>27</v>
      </c>
    </row>
    <row r="9" spans="1:33" ht="16.5" thickBot="1" x14ac:dyDescent="0.4">
      <c r="A9" s="45" t="s">
        <v>269</v>
      </c>
      <c r="B9" s="46" t="s">
        <v>270</v>
      </c>
      <c r="C9" s="46" t="s">
        <v>271</v>
      </c>
      <c r="E9" s="126"/>
      <c r="F9" s="57">
        <v>2</v>
      </c>
      <c r="G9" s="79">
        <f>G$7*$F$9</f>
        <v>2</v>
      </c>
      <c r="H9" s="79">
        <f t="shared" ref="H9:AG9" si="1">H$7*$F$9</f>
        <v>4</v>
      </c>
      <c r="I9" s="79">
        <f t="shared" si="1"/>
        <v>6</v>
      </c>
      <c r="J9" s="79">
        <f t="shared" si="1"/>
        <v>8</v>
      </c>
      <c r="K9" s="79">
        <f t="shared" si="1"/>
        <v>10</v>
      </c>
      <c r="L9" s="79">
        <f t="shared" si="1"/>
        <v>12</v>
      </c>
      <c r="M9" s="79">
        <f t="shared" si="1"/>
        <v>14</v>
      </c>
      <c r="N9" s="79">
        <f t="shared" si="1"/>
        <v>16</v>
      </c>
      <c r="O9" s="79">
        <f t="shared" si="1"/>
        <v>18</v>
      </c>
      <c r="P9" s="79">
        <f t="shared" si="1"/>
        <v>20</v>
      </c>
      <c r="Q9" s="79">
        <f t="shared" si="1"/>
        <v>22</v>
      </c>
      <c r="R9" s="79">
        <f t="shared" si="1"/>
        <v>24</v>
      </c>
      <c r="S9" s="79">
        <f t="shared" si="1"/>
        <v>26</v>
      </c>
      <c r="T9" s="79">
        <f t="shared" si="1"/>
        <v>28</v>
      </c>
      <c r="U9" s="79">
        <f t="shared" si="1"/>
        <v>30</v>
      </c>
      <c r="V9" s="79">
        <f t="shared" si="1"/>
        <v>32</v>
      </c>
      <c r="W9" s="79">
        <f t="shared" si="1"/>
        <v>34</v>
      </c>
      <c r="X9" s="79">
        <f t="shared" si="1"/>
        <v>36</v>
      </c>
      <c r="Y9" s="79">
        <f t="shared" si="1"/>
        <v>38</v>
      </c>
      <c r="Z9" s="79">
        <f t="shared" si="1"/>
        <v>40</v>
      </c>
      <c r="AA9" s="79">
        <f t="shared" si="1"/>
        <v>42</v>
      </c>
      <c r="AB9" s="79">
        <f t="shared" si="1"/>
        <v>44</v>
      </c>
      <c r="AC9" s="79">
        <f t="shared" si="1"/>
        <v>46</v>
      </c>
      <c r="AD9" s="79">
        <f t="shared" si="1"/>
        <v>48</v>
      </c>
      <c r="AE9" s="79">
        <f t="shared" si="1"/>
        <v>50</v>
      </c>
      <c r="AF9" s="79">
        <f t="shared" si="1"/>
        <v>52</v>
      </c>
      <c r="AG9" s="79">
        <f t="shared" si="1"/>
        <v>54</v>
      </c>
    </row>
    <row r="10" spans="1:33" ht="16.899999999999999" thickTop="1" thickBot="1" x14ac:dyDescent="0.4">
      <c r="A10" s="47" t="s">
        <v>280</v>
      </c>
      <c r="B10" s="48" t="s">
        <v>273</v>
      </c>
      <c r="C10" s="49">
        <v>1</v>
      </c>
      <c r="E10" s="126"/>
      <c r="F10" s="77">
        <v>3</v>
      </c>
      <c r="G10" s="81">
        <f>G$7*$F$10</f>
        <v>3</v>
      </c>
      <c r="H10" s="82">
        <f t="shared" ref="H10:AG10" si="2">H$7*$F$10</f>
        <v>6</v>
      </c>
      <c r="I10" s="82">
        <f t="shared" si="2"/>
        <v>9</v>
      </c>
      <c r="J10" s="82">
        <f t="shared" si="2"/>
        <v>12</v>
      </c>
      <c r="K10" s="82">
        <f t="shared" si="2"/>
        <v>15</v>
      </c>
      <c r="L10" s="82">
        <f t="shared" si="2"/>
        <v>18</v>
      </c>
      <c r="M10" s="82">
        <f t="shared" si="2"/>
        <v>21</v>
      </c>
      <c r="N10" s="82">
        <f t="shared" si="2"/>
        <v>24</v>
      </c>
      <c r="O10" s="82">
        <f t="shared" si="2"/>
        <v>27</v>
      </c>
      <c r="P10" s="82">
        <f t="shared" si="2"/>
        <v>30</v>
      </c>
      <c r="Q10" s="82">
        <f t="shared" si="2"/>
        <v>33</v>
      </c>
      <c r="R10" s="82">
        <f t="shared" si="2"/>
        <v>36</v>
      </c>
      <c r="S10" s="82">
        <f t="shared" si="2"/>
        <v>39</v>
      </c>
      <c r="T10" s="82">
        <f t="shared" si="2"/>
        <v>42</v>
      </c>
      <c r="U10" s="82">
        <f t="shared" si="2"/>
        <v>45</v>
      </c>
      <c r="V10" s="82">
        <f t="shared" si="2"/>
        <v>48</v>
      </c>
      <c r="W10" s="82">
        <f t="shared" si="2"/>
        <v>51</v>
      </c>
      <c r="X10" s="82">
        <f t="shared" si="2"/>
        <v>54</v>
      </c>
      <c r="Y10" s="82">
        <f t="shared" si="2"/>
        <v>57</v>
      </c>
      <c r="Z10" s="82">
        <f t="shared" si="2"/>
        <v>60</v>
      </c>
      <c r="AA10" s="82">
        <f t="shared" si="2"/>
        <v>63</v>
      </c>
      <c r="AB10" s="82">
        <f t="shared" si="2"/>
        <v>66</v>
      </c>
      <c r="AC10" s="82">
        <f t="shared" si="2"/>
        <v>69</v>
      </c>
      <c r="AD10" s="82">
        <f t="shared" si="2"/>
        <v>72</v>
      </c>
      <c r="AE10" s="82">
        <f t="shared" si="2"/>
        <v>75</v>
      </c>
      <c r="AF10" s="82">
        <f t="shared" si="2"/>
        <v>78</v>
      </c>
      <c r="AG10" s="83">
        <f t="shared" si="2"/>
        <v>81</v>
      </c>
    </row>
    <row r="11" spans="1:33" ht="16.5" thickBot="1" x14ac:dyDescent="0.4">
      <c r="A11" s="47" t="s">
        <v>281</v>
      </c>
      <c r="B11" s="48" t="s">
        <v>5</v>
      </c>
      <c r="C11" s="49">
        <v>2</v>
      </c>
      <c r="E11" s="126"/>
      <c r="F11" s="77">
        <v>4</v>
      </c>
      <c r="G11" s="84">
        <f>G$7*$F$11</f>
        <v>4</v>
      </c>
      <c r="H11" s="80">
        <f t="shared" ref="H11:AG11" si="3">H$7*$F$11</f>
        <v>8</v>
      </c>
      <c r="I11" s="80">
        <f t="shared" si="3"/>
        <v>12</v>
      </c>
      <c r="J11" s="80">
        <f t="shared" si="3"/>
        <v>16</v>
      </c>
      <c r="K11" s="80">
        <f t="shared" si="3"/>
        <v>20</v>
      </c>
      <c r="L11" s="80">
        <f t="shared" si="3"/>
        <v>24</v>
      </c>
      <c r="M11" s="80">
        <f t="shared" si="3"/>
        <v>28</v>
      </c>
      <c r="N11" s="80">
        <f t="shared" si="3"/>
        <v>32</v>
      </c>
      <c r="O11" s="80">
        <f t="shared" si="3"/>
        <v>36</v>
      </c>
      <c r="P11" s="80">
        <f t="shared" si="3"/>
        <v>40</v>
      </c>
      <c r="Q11" s="80">
        <f t="shared" si="3"/>
        <v>44</v>
      </c>
      <c r="R11" s="80">
        <f t="shared" si="3"/>
        <v>48</v>
      </c>
      <c r="S11" s="80">
        <f t="shared" si="3"/>
        <v>52</v>
      </c>
      <c r="T11" s="80">
        <f t="shared" si="3"/>
        <v>56</v>
      </c>
      <c r="U11" s="80">
        <f t="shared" si="3"/>
        <v>60</v>
      </c>
      <c r="V11" s="80">
        <f t="shared" si="3"/>
        <v>64</v>
      </c>
      <c r="W11" s="80">
        <f t="shared" si="3"/>
        <v>68</v>
      </c>
      <c r="X11" s="80">
        <f t="shared" si="3"/>
        <v>72</v>
      </c>
      <c r="Y11" s="80">
        <f t="shared" si="3"/>
        <v>76</v>
      </c>
      <c r="Z11" s="80">
        <f t="shared" si="3"/>
        <v>80</v>
      </c>
      <c r="AA11" s="80">
        <f t="shared" si="3"/>
        <v>84</v>
      </c>
      <c r="AB11" s="80">
        <f t="shared" si="3"/>
        <v>88</v>
      </c>
      <c r="AC11" s="80">
        <f t="shared" si="3"/>
        <v>92</v>
      </c>
      <c r="AD11" s="80">
        <f t="shared" si="3"/>
        <v>96</v>
      </c>
      <c r="AE11" s="80">
        <f t="shared" si="3"/>
        <v>100</v>
      </c>
      <c r="AF11" s="80">
        <f t="shared" si="3"/>
        <v>104</v>
      </c>
      <c r="AG11" s="85">
        <f t="shared" si="3"/>
        <v>108</v>
      </c>
    </row>
    <row r="12" spans="1:33" ht="16.5" thickBot="1" x14ac:dyDescent="0.4">
      <c r="A12" s="47" t="s">
        <v>282</v>
      </c>
      <c r="B12" s="48" t="s">
        <v>6</v>
      </c>
      <c r="C12" s="49">
        <v>3</v>
      </c>
      <c r="E12" s="126"/>
      <c r="F12" s="77">
        <v>5</v>
      </c>
      <c r="G12" s="84">
        <f>G$7*$F$12</f>
        <v>5</v>
      </c>
      <c r="H12" s="80">
        <f t="shared" ref="H12:AG12" si="4">H$7*$F$12</f>
        <v>10</v>
      </c>
      <c r="I12" s="80">
        <f t="shared" si="4"/>
        <v>15</v>
      </c>
      <c r="J12" s="80">
        <f t="shared" si="4"/>
        <v>20</v>
      </c>
      <c r="K12" s="80">
        <f t="shared" si="4"/>
        <v>25</v>
      </c>
      <c r="L12" s="80">
        <f t="shared" si="4"/>
        <v>30</v>
      </c>
      <c r="M12" s="80">
        <f t="shared" si="4"/>
        <v>35</v>
      </c>
      <c r="N12" s="80">
        <f t="shared" si="4"/>
        <v>40</v>
      </c>
      <c r="O12" s="80">
        <f t="shared" si="4"/>
        <v>45</v>
      </c>
      <c r="P12" s="80">
        <f t="shared" si="4"/>
        <v>50</v>
      </c>
      <c r="Q12" s="80">
        <f t="shared" si="4"/>
        <v>55</v>
      </c>
      <c r="R12" s="80">
        <f t="shared" si="4"/>
        <v>60</v>
      </c>
      <c r="S12" s="80">
        <f t="shared" si="4"/>
        <v>65</v>
      </c>
      <c r="T12" s="80">
        <f t="shared" si="4"/>
        <v>70</v>
      </c>
      <c r="U12" s="80">
        <f t="shared" si="4"/>
        <v>75</v>
      </c>
      <c r="V12" s="80">
        <f t="shared" si="4"/>
        <v>80</v>
      </c>
      <c r="W12" s="80">
        <f t="shared" si="4"/>
        <v>85</v>
      </c>
      <c r="X12" s="80">
        <f t="shared" si="4"/>
        <v>90</v>
      </c>
      <c r="Y12" s="80">
        <f t="shared" si="4"/>
        <v>95</v>
      </c>
      <c r="Z12" s="80">
        <f t="shared" si="4"/>
        <v>100</v>
      </c>
      <c r="AA12" s="80">
        <f t="shared" si="4"/>
        <v>105</v>
      </c>
      <c r="AB12" s="80">
        <f t="shared" si="4"/>
        <v>110</v>
      </c>
      <c r="AC12" s="80">
        <f t="shared" si="4"/>
        <v>115</v>
      </c>
      <c r="AD12" s="80">
        <f t="shared" si="4"/>
        <v>120</v>
      </c>
      <c r="AE12" s="80">
        <f t="shared" si="4"/>
        <v>125</v>
      </c>
      <c r="AF12" s="80">
        <f t="shared" si="4"/>
        <v>130</v>
      </c>
      <c r="AG12" s="85">
        <f t="shared" si="4"/>
        <v>135</v>
      </c>
    </row>
    <row r="13" spans="1:33" ht="15.4" x14ac:dyDescent="0.35">
      <c r="E13" s="126"/>
      <c r="F13" s="77">
        <v>6</v>
      </c>
      <c r="G13" s="84">
        <f>G$7*$F$13</f>
        <v>6</v>
      </c>
      <c r="H13" s="80">
        <f t="shared" ref="H13:AG13" si="5">H$7*$F$13</f>
        <v>12</v>
      </c>
      <c r="I13" s="80">
        <f t="shared" si="5"/>
        <v>18</v>
      </c>
      <c r="J13" s="80">
        <f t="shared" si="5"/>
        <v>24</v>
      </c>
      <c r="K13" s="80">
        <f t="shared" si="5"/>
        <v>30</v>
      </c>
      <c r="L13" s="80">
        <f t="shared" si="5"/>
        <v>36</v>
      </c>
      <c r="M13" s="80">
        <f t="shared" si="5"/>
        <v>42</v>
      </c>
      <c r="N13" s="80">
        <f t="shared" si="5"/>
        <v>48</v>
      </c>
      <c r="O13" s="80">
        <f t="shared" si="5"/>
        <v>54</v>
      </c>
      <c r="P13" s="80">
        <f t="shared" si="5"/>
        <v>60</v>
      </c>
      <c r="Q13" s="80">
        <f t="shared" si="5"/>
        <v>66</v>
      </c>
      <c r="R13" s="80">
        <f t="shared" si="5"/>
        <v>72</v>
      </c>
      <c r="S13" s="80">
        <f t="shared" si="5"/>
        <v>78</v>
      </c>
      <c r="T13" s="80">
        <f t="shared" si="5"/>
        <v>84</v>
      </c>
      <c r="U13" s="80">
        <f t="shared" si="5"/>
        <v>90</v>
      </c>
      <c r="V13" s="80">
        <f t="shared" si="5"/>
        <v>96</v>
      </c>
      <c r="W13" s="80">
        <f t="shared" si="5"/>
        <v>102</v>
      </c>
      <c r="X13" s="80">
        <f t="shared" si="5"/>
        <v>108</v>
      </c>
      <c r="Y13" s="80">
        <f t="shared" si="5"/>
        <v>114</v>
      </c>
      <c r="Z13" s="80">
        <f t="shared" si="5"/>
        <v>120</v>
      </c>
      <c r="AA13" s="80">
        <f t="shared" si="5"/>
        <v>126</v>
      </c>
      <c r="AB13" s="80">
        <f t="shared" si="5"/>
        <v>132</v>
      </c>
      <c r="AC13" s="80">
        <f t="shared" si="5"/>
        <v>138</v>
      </c>
      <c r="AD13" s="80">
        <f t="shared" si="5"/>
        <v>144</v>
      </c>
      <c r="AE13" s="80">
        <f t="shared" si="5"/>
        <v>150</v>
      </c>
      <c r="AF13" s="80">
        <f t="shared" si="5"/>
        <v>156</v>
      </c>
      <c r="AG13" s="85">
        <f t="shared" si="5"/>
        <v>162</v>
      </c>
    </row>
    <row r="14" spans="1:33" ht="15.4" x14ac:dyDescent="0.35">
      <c r="E14" s="126"/>
      <c r="F14" s="77">
        <v>7</v>
      </c>
      <c r="G14" s="84">
        <f>G$7*$F$14</f>
        <v>7</v>
      </c>
      <c r="H14" s="80">
        <f t="shared" ref="H14:AG14" si="6">H$7*$F$14</f>
        <v>14</v>
      </c>
      <c r="I14" s="80">
        <f t="shared" si="6"/>
        <v>21</v>
      </c>
      <c r="J14" s="80">
        <f t="shared" si="6"/>
        <v>28</v>
      </c>
      <c r="K14" s="80">
        <f t="shared" si="6"/>
        <v>35</v>
      </c>
      <c r="L14" s="80">
        <f t="shared" si="6"/>
        <v>42</v>
      </c>
      <c r="M14" s="80">
        <f t="shared" si="6"/>
        <v>49</v>
      </c>
      <c r="N14" s="80">
        <f t="shared" si="6"/>
        <v>56</v>
      </c>
      <c r="O14" s="80">
        <f t="shared" si="6"/>
        <v>63</v>
      </c>
      <c r="P14" s="80">
        <f t="shared" si="6"/>
        <v>70</v>
      </c>
      <c r="Q14" s="80">
        <f t="shared" si="6"/>
        <v>77</v>
      </c>
      <c r="R14" s="80">
        <f t="shared" si="6"/>
        <v>84</v>
      </c>
      <c r="S14" s="80">
        <f t="shared" si="6"/>
        <v>91</v>
      </c>
      <c r="T14" s="80">
        <f t="shared" si="6"/>
        <v>98</v>
      </c>
      <c r="U14" s="80">
        <f t="shared" si="6"/>
        <v>105</v>
      </c>
      <c r="V14" s="80">
        <f t="shared" si="6"/>
        <v>112</v>
      </c>
      <c r="W14" s="80">
        <f t="shared" si="6"/>
        <v>119</v>
      </c>
      <c r="X14" s="80">
        <f t="shared" si="6"/>
        <v>126</v>
      </c>
      <c r="Y14" s="80">
        <f t="shared" si="6"/>
        <v>133</v>
      </c>
      <c r="Z14" s="80">
        <f t="shared" si="6"/>
        <v>140</v>
      </c>
      <c r="AA14" s="80">
        <f t="shared" si="6"/>
        <v>147</v>
      </c>
      <c r="AB14" s="80">
        <f t="shared" si="6"/>
        <v>154</v>
      </c>
      <c r="AC14" s="80">
        <f t="shared" si="6"/>
        <v>161</v>
      </c>
      <c r="AD14" s="80">
        <f t="shared" si="6"/>
        <v>168</v>
      </c>
      <c r="AE14" s="80">
        <f t="shared" si="6"/>
        <v>175</v>
      </c>
      <c r="AF14" s="80">
        <f t="shared" si="6"/>
        <v>182</v>
      </c>
      <c r="AG14" s="85">
        <f t="shared" si="6"/>
        <v>189</v>
      </c>
    </row>
    <row r="15" spans="1:33" ht="16.5" thickBot="1" x14ac:dyDescent="0.4">
      <c r="A15" s="44" t="s">
        <v>283</v>
      </c>
      <c r="E15" s="126"/>
      <c r="F15" s="77">
        <v>8</v>
      </c>
      <c r="G15" s="84">
        <f>G$7*$F$15</f>
        <v>8</v>
      </c>
      <c r="H15" s="80">
        <f t="shared" ref="H15:AG15" si="7">H$7*$F$15</f>
        <v>16</v>
      </c>
      <c r="I15" s="80">
        <f t="shared" si="7"/>
        <v>24</v>
      </c>
      <c r="J15" s="80">
        <f t="shared" si="7"/>
        <v>32</v>
      </c>
      <c r="K15" s="80">
        <f t="shared" si="7"/>
        <v>40</v>
      </c>
      <c r="L15" s="80">
        <f t="shared" si="7"/>
        <v>48</v>
      </c>
      <c r="M15" s="80">
        <f t="shared" si="7"/>
        <v>56</v>
      </c>
      <c r="N15" s="80">
        <f t="shared" si="7"/>
        <v>64</v>
      </c>
      <c r="O15" s="80">
        <f t="shared" si="7"/>
        <v>72</v>
      </c>
      <c r="P15" s="80">
        <f t="shared" si="7"/>
        <v>80</v>
      </c>
      <c r="Q15" s="80">
        <f t="shared" si="7"/>
        <v>88</v>
      </c>
      <c r="R15" s="80">
        <f t="shared" si="7"/>
        <v>96</v>
      </c>
      <c r="S15" s="80">
        <f t="shared" si="7"/>
        <v>104</v>
      </c>
      <c r="T15" s="80">
        <f t="shared" si="7"/>
        <v>112</v>
      </c>
      <c r="U15" s="80">
        <f t="shared" si="7"/>
        <v>120</v>
      </c>
      <c r="V15" s="80">
        <f t="shared" si="7"/>
        <v>128</v>
      </c>
      <c r="W15" s="80">
        <f t="shared" si="7"/>
        <v>136</v>
      </c>
      <c r="X15" s="80">
        <f t="shared" si="7"/>
        <v>144</v>
      </c>
      <c r="Y15" s="80">
        <f t="shared" si="7"/>
        <v>152</v>
      </c>
      <c r="Z15" s="80">
        <f t="shared" si="7"/>
        <v>160</v>
      </c>
      <c r="AA15" s="80">
        <f t="shared" si="7"/>
        <v>168</v>
      </c>
      <c r="AB15" s="80">
        <f t="shared" si="7"/>
        <v>176</v>
      </c>
      <c r="AC15" s="80">
        <f t="shared" si="7"/>
        <v>184</v>
      </c>
      <c r="AD15" s="80">
        <f t="shared" si="7"/>
        <v>192</v>
      </c>
      <c r="AE15" s="80">
        <f t="shared" si="7"/>
        <v>200</v>
      </c>
      <c r="AF15" s="80">
        <f t="shared" si="7"/>
        <v>208</v>
      </c>
      <c r="AG15" s="85">
        <f t="shared" si="7"/>
        <v>216</v>
      </c>
    </row>
    <row r="16" spans="1:33" ht="16.5" thickBot="1" x14ac:dyDescent="0.4">
      <c r="A16" s="55" t="s">
        <v>269</v>
      </c>
      <c r="B16" s="50" t="s">
        <v>270</v>
      </c>
      <c r="C16" s="50" t="s">
        <v>271</v>
      </c>
      <c r="E16" s="127"/>
      <c r="F16" s="78">
        <v>9</v>
      </c>
      <c r="G16" s="86">
        <f>G$7*$F$16</f>
        <v>9</v>
      </c>
      <c r="H16" s="87">
        <f t="shared" ref="H16:AG16" si="8">H$7*$F$16</f>
        <v>18</v>
      </c>
      <c r="I16" s="87">
        <f t="shared" si="8"/>
        <v>27</v>
      </c>
      <c r="J16" s="87">
        <f t="shared" si="8"/>
        <v>36</v>
      </c>
      <c r="K16" s="87">
        <f t="shared" si="8"/>
        <v>45</v>
      </c>
      <c r="L16" s="87">
        <f t="shared" si="8"/>
        <v>54</v>
      </c>
      <c r="M16" s="87">
        <f t="shared" si="8"/>
        <v>63</v>
      </c>
      <c r="N16" s="87">
        <f t="shared" si="8"/>
        <v>72</v>
      </c>
      <c r="O16" s="87">
        <f t="shared" si="8"/>
        <v>81</v>
      </c>
      <c r="P16" s="87">
        <f t="shared" si="8"/>
        <v>90</v>
      </c>
      <c r="Q16" s="87">
        <f t="shared" si="8"/>
        <v>99</v>
      </c>
      <c r="R16" s="87">
        <f t="shared" si="8"/>
        <v>108</v>
      </c>
      <c r="S16" s="87">
        <f t="shared" si="8"/>
        <v>117</v>
      </c>
      <c r="T16" s="87">
        <f t="shared" si="8"/>
        <v>126</v>
      </c>
      <c r="U16" s="87">
        <f t="shared" si="8"/>
        <v>135</v>
      </c>
      <c r="V16" s="87">
        <f t="shared" si="8"/>
        <v>144</v>
      </c>
      <c r="W16" s="87">
        <f t="shared" si="8"/>
        <v>153</v>
      </c>
      <c r="X16" s="87">
        <f t="shared" si="8"/>
        <v>162</v>
      </c>
      <c r="Y16" s="87">
        <f t="shared" si="8"/>
        <v>171</v>
      </c>
      <c r="Z16" s="87">
        <f t="shared" si="8"/>
        <v>180</v>
      </c>
      <c r="AA16" s="87">
        <f t="shared" si="8"/>
        <v>189</v>
      </c>
      <c r="AB16" s="87">
        <f t="shared" si="8"/>
        <v>198</v>
      </c>
      <c r="AC16" s="87">
        <f t="shared" si="8"/>
        <v>207</v>
      </c>
      <c r="AD16" s="87">
        <f t="shared" si="8"/>
        <v>216</v>
      </c>
      <c r="AE16" s="87">
        <f t="shared" si="8"/>
        <v>225</v>
      </c>
      <c r="AF16" s="87">
        <f t="shared" si="8"/>
        <v>234</v>
      </c>
      <c r="AG16" s="88">
        <f t="shared" si="8"/>
        <v>243</v>
      </c>
    </row>
    <row r="17" spans="1:3" ht="16.149999999999999" x14ac:dyDescent="0.35">
      <c r="A17" s="51" t="s">
        <v>301</v>
      </c>
      <c r="B17" s="128" t="s">
        <v>284</v>
      </c>
      <c r="C17" s="115">
        <v>1</v>
      </c>
    </row>
    <row r="18" spans="1:3" ht="16.149999999999999" x14ac:dyDescent="0.35">
      <c r="A18" s="54" t="s">
        <v>302</v>
      </c>
      <c r="B18" s="129"/>
      <c r="C18" s="116"/>
    </row>
    <row r="19" spans="1:3" ht="16.149999999999999" x14ac:dyDescent="0.35">
      <c r="A19" s="53" t="s">
        <v>285</v>
      </c>
      <c r="B19" s="129"/>
      <c r="C19" s="116"/>
    </row>
    <row r="20" spans="1:3" ht="16.5" thickBot="1" x14ac:dyDescent="0.4">
      <c r="A20" s="52" t="s">
        <v>286</v>
      </c>
      <c r="B20" s="130"/>
      <c r="C20" s="117"/>
    </row>
    <row r="21" spans="1:3" ht="16.149999999999999" x14ac:dyDescent="0.35">
      <c r="A21" s="53" t="s">
        <v>287</v>
      </c>
      <c r="B21" s="112" t="s">
        <v>288</v>
      </c>
      <c r="C21" s="115">
        <v>2</v>
      </c>
    </row>
    <row r="22" spans="1:3" ht="16.149999999999999" x14ac:dyDescent="0.35">
      <c r="A22" s="53" t="s">
        <v>289</v>
      </c>
      <c r="B22" s="113"/>
      <c r="C22" s="116"/>
    </row>
    <row r="23" spans="1:3" ht="16.149999999999999" x14ac:dyDescent="0.35">
      <c r="A23" s="53" t="s">
        <v>290</v>
      </c>
      <c r="B23" s="113"/>
      <c r="C23" s="116"/>
    </row>
    <row r="24" spans="1:3" ht="16.149999999999999" x14ac:dyDescent="0.35">
      <c r="A24" s="53" t="s">
        <v>291</v>
      </c>
      <c r="B24" s="113"/>
      <c r="C24" s="116"/>
    </row>
    <row r="25" spans="1:3" ht="16.5" thickBot="1" x14ac:dyDescent="0.4">
      <c r="A25" s="52" t="s">
        <v>292</v>
      </c>
      <c r="B25" s="114"/>
      <c r="C25" s="117"/>
    </row>
    <row r="26" spans="1:3" ht="16.149999999999999" x14ac:dyDescent="0.35">
      <c r="A26" s="51" t="s">
        <v>293</v>
      </c>
      <c r="B26" s="112" t="s">
        <v>294</v>
      </c>
      <c r="C26" s="115">
        <v>3</v>
      </c>
    </row>
    <row r="27" spans="1:3" ht="16.149999999999999" x14ac:dyDescent="0.35">
      <c r="A27" s="53" t="s">
        <v>295</v>
      </c>
      <c r="B27" s="113"/>
      <c r="C27" s="116"/>
    </row>
    <row r="28" spans="1:3" ht="16.149999999999999" x14ac:dyDescent="0.35">
      <c r="A28" s="53" t="s">
        <v>296</v>
      </c>
      <c r="B28" s="113"/>
      <c r="C28" s="116"/>
    </row>
    <row r="29" spans="1:3" ht="16.149999999999999" x14ac:dyDescent="0.35">
      <c r="A29" s="53" t="s">
        <v>297</v>
      </c>
      <c r="B29" s="113"/>
      <c r="C29" s="116"/>
    </row>
    <row r="30" spans="1:3" ht="16.149999999999999" x14ac:dyDescent="0.35">
      <c r="A30" s="53" t="s">
        <v>298</v>
      </c>
      <c r="B30" s="113"/>
      <c r="C30" s="116"/>
    </row>
    <row r="31" spans="1:3" ht="16.149999999999999" x14ac:dyDescent="0.35">
      <c r="A31" s="53" t="s">
        <v>299</v>
      </c>
      <c r="B31" s="113"/>
      <c r="C31" s="116"/>
    </row>
    <row r="32" spans="1:3" ht="16.5" thickBot="1" x14ac:dyDescent="0.4">
      <c r="A32" s="52" t="s">
        <v>300</v>
      </c>
      <c r="B32" s="114"/>
      <c r="C32" s="117"/>
    </row>
  </sheetData>
  <mergeCells count="12">
    <mergeCell ref="B21:B25"/>
    <mergeCell ref="C21:C25"/>
    <mergeCell ref="B26:B32"/>
    <mergeCell ref="C26:C32"/>
    <mergeCell ref="E3:AG3"/>
    <mergeCell ref="E4:E7"/>
    <mergeCell ref="G4:AG4"/>
    <mergeCell ref="G5:AG5"/>
    <mergeCell ref="G6:AG6"/>
    <mergeCell ref="E8:E16"/>
    <mergeCell ref="B17:B20"/>
    <mergeCell ref="C17:C20"/>
  </mergeCells>
  <phoneticPr fontId="3" type="noConversion"/>
  <conditionalFormatting sqref="G8:AG16">
    <cfRule type="cellIs" dxfId="2" priority="1" operator="between">
      <formula>161</formula>
      <formula>243</formula>
    </cfRule>
    <cfRule type="cellIs" dxfId="1" priority="2" operator="between">
      <formula>81</formula>
      <formula>160</formula>
    </cfRule>
    <cfRule type="cellIs" dxfId="0" priority="3" operator="between">
      <formula>1</formula>
      <formula>80</formula>
    </cfRule>
  </conditionalFormatting>
  <dataValidations disablePrompts="1" count="2">
    <dataValidation allowBlank="1" showInputMessage="1" showErrorMessage="1" prompt="請輸入風險最大值(預設值為81)" sqref="A2" xr:uid="{00000000-0002-0000-0300-000000000000}"/>
    <dataValidation allowBlank="1" showInputMessage="1" showErrorMessage="1" prompt="請輸入風險最小值(預設值為3)" sqref="B2" xr:uid="{00000000-0002-0000-0300-000001000000}"/>
  </dataValidations>
  <pageMargins left="0.7" right="0.7" top="0.75" bottom="0.75" header="0.3" footer="0.3"/>
  <pageSetup orientation="portrait"/>
  <ignoredErrors>
    <ignoredError sqref="G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資產及風險評鑑表</vt:lpstr>
      <vt:lpstr>類別</vt:lpstr>
      <vt:lpstr>威脅來源</vt:lpstr>
      <vt:lpstr>弱點來源</vt:lpstr>
      <vt:lpstr>評估等級表</vt:lpstr>
      <vt:lpstr>人員類次類別</vt:lpstr>
      <vt:lpstr>人員類威脅</vt:lpstr>
      <vt:lpstr>人員類威脅弱點</vt:lpstr>
      <vt:lpstr>主類別</vt:lpstr>
      <vt:lpstr>軟體類次類別</vt:lpstr>
      <vt:lpstr>軟體類威脅</vt:lpstr>
      <vt:lpstr>軟體類威脅弱點</vt:lpstr>
      <vt:lpstr>通訊類次類別</vt:lpstr>
      <vt:lpstr>通訊類威脅</vt:lpstr>
      <vt:lpstr>通訊類威脅弱點</vt:lpstr>
      <vt:lpstr>硬體類次類別</vt:lpstr>
      <vt:lpstr>硬體類威脅</vt:lpstr>
      <vt:lpstr>硬體類威脅弱點</vt:lpstr>
      <vt:lpstr>資料類型</vt:lpstr>
      <vt:lpstr>資訊類次類別</vt:lpstr>
      <vt:lpstr>資訊類威脅</vt:lpstr>
      <vt:lpstr>資訊類威脅弱點</vt:lpstr>
      <vt:lpstr>環境類次類別</vt:lpstr>
      <vt:lpstr>環境類威脅</vt:lpstr>
      <vt:lpstr>環境類威脅弱點</vt:lpstr>
    </vt:vector>
  </TitlesOfParts>
  <Company>Armorize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良隆 葉</cp:lastModifiedBy>
  <cp:lastPrinted>2021-08-12T13:17:30Z</cp:lastPrinted>
  <dcterms:created xsi:type="dcterms:W3CDTF">2010-11-18T03:27:18Z</dcterms:created>
  <dcterms:modified xsi:type="dcterms:W3CDTF">2024-03-27T07:53:53Z</dcterms:modified>
</cp:coreProperties>
</file>