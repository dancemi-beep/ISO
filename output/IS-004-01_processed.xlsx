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195" windowWidth="19200" windowHeight="11085" tabRatio="600" firstSheet="0" activeTab="0" autoFilterDateGrouping="1"/>
  </bookViews>
  <sheets>
    <sheet xmlns:r="http://schemas.openxmlformats.org/officeDocument/2006/relationships" name="資產及風險評鑑表" sheetId="1" state="visible" r:id="rId1"/>
    <sheet xmlns:r="http://schemas.openxmlformats.org/officeDocument/2006/relationships" name="類別" sheetId="2" state="visible" r:id="rId2"/>
    <sheet xmlns:r="http://schemas.openxmlformats.org/officeDocument/2006/relationships" name="威脅來源" sheetId="3" state="visible" r:id="rId3"/>
    <sheet xmlns:r="http://schemas.openxmlformats.org/officeDocument/2006/relationships" name="弱點來源" sheetId="4" state="visible" r:id="rId4"/>
    <sheet xmlns:r="http://schemas.openxmlformats.org/officeDocument/2006/relationships" name="評估等級表" sheetId="5" state="visible" r:id="rId5"/>
  </sheets>
  <definedNames>
    <definedName name="人員類次類別">類別!$C$3:$C$8</definedName>
    <definedName name="人員類威脅">威脅來源!$A$2:$A$21</definedName>
    <definedName name="人員類威脅弱點">弱點來源!$A$2:$A$20</definedName>
    <definedName name="主類別">類別!$A$2:$A$7</definedName>
    <definedName name="軟體類次類別">類別!$F$3:$F$8</definedName>
    <definedName name="軟體類威脅">威脅來源!$C$2:$C$33</definedName>
    <definedName name="軟體類威脅弱點">弱點來源!$D$2:$D$17</definedName>
    <definedName name="通訊類次類別">類別!$E$3:$E$5</definedName>
    <definedName name="通訊類威脅">威脅來源!$E$2:$E$30</definedName>
    <definedName name="通訊類威脅弱點">弱點來源!$C$2:$C$21</definedName>
    <definedName name="硬體類次類別">類別!$G$3:$G$8</definedName>
    <definedName name="硬體類威脅">威脅來源!$D$2:$D$30</definedName>
    <definedName name="硬體類威脅弱點">弱點來源!$E$2:$E$30</definedName>
    <definedName name="資料類型">類別!$J$2:$J$5</definedName>
    <definedName name="資訊類次類別">類別!$D$3:$D$11</definedName>
    <definedName name="資訊類威脅">威脅來源!$B$2:$B$35</definedName>
    <definedName name="資訊類威脅弱點">弱點來源!$B$2:$B$27</definedName>
    <definedName name="環境類次類別">類別!$H$3:$H$10</definedName>
    <definedName name="環境類威脅">威脅來源!$F$2:$F$35</definedName>
    <definedName name="環境類威脅弱點">弱點來源!$F$2:$F$20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Arial"/>
      <family val="2"/>
      <sz val="10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  <font>
      <name val="Arial"/>
      <family val="2"/>
      <sz val="8"/>
    </font>
    <font>
      <name val="細明體"/>
      <charset val="136"/>
      <family val="3"/>
      <sz val="10"/>
    </font>
    <font>
      <name val="新細明體"/>
      <charset val="136"/>
      <family val="1"/>
      <sz val="10"/>
    </font>
    <font>
      <name val="Arial"/>
      <family val="2"/>
      <color indexed="8"/>
      <sz val="10"/>
    </font>
    <font>
      <name val="標楷體"/>
      <charset val="136"/>
      <family val="4"/>
      <b val="1"/>
      <sz val="10"/>
    </font>
    <font>
      <name val="標楷體"/>
      <charset val="136"/>
      <family val="4"/>
      <sz val="10"/>
    </font>
    <font>
      <name val="新細明體"/>
      <charset val="136"/>
      <family val="2"/>
      <sz val="9"/>
      <scheme val="minor"/>
    </font>
    <font>
      <name val="Arial"/>
      <charset val="136"/>
      <family val="4"/>
      <sz val="10"/>
    </font>
    <font>
      <name val="新細明體"/>
      <charset val="136"/>
      <family val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6"/>
    </font>
    <font>
      <name val="標楷體"/>
      <charset val="136"/>
      <family val="4"/>
      <color indexed="10"/>
      <sz val="10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color indexed="8"/>
      <sz val="10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color rgb="FF0070C0"/>
      <sz val="12"/>
    </font>
    <font>
      <name val="微軟正黑體"/>
      <charset val="136"/>
      <family val="2"/>
      <color theme="1"/>
      <sz val="12"/>
    </font>
    <font>
      <name val="標楷體"/>
      <charset val="136"/>
      <family val="4"/>
      <color rgb="FFFF0000"/>
      <sz val="12"/>
    </font>
    <font>
      <name val="微軟正黑體"/>
      <charset val="136"/>
      <family val="2"/>
      <color theme="5"/>
      <sz val="12"/>
    </font>
    <font>
      <name val="標楷體"/>
      <charset val="136"/>
      <family val="4"/>
      <color theme="5"/>
      <sz val="12"/>
    </font>
    <font>
      <name val="Arial"/>
      <family val="2"/>
      <color theme="1"/>
      <sz val="12"/>
    </font>
    <font>
      <name val="標楷體"/>
      <charset val="136"/>
      <family val="4"/>
      <color rgb="FF00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color rgb="FF000000"/>
      <sz val="12"/>
    </font>
  </fonts>
  <fills count="13">
    <fill>
      <patternFill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26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2" fillId="0" borderId="0"/>
    <xf numFmtId="41" fontId="2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" fillId="0" borderId="0" applyAlignment="1">
      <alignment vertical="center"/>
    </xf>
  </cellStyleXfs>
  <cellXfs count="139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2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2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vertical="center" wrapText="1"/>
    </xf>
    <xf numFmtId="0" fontId="8" fillId="5" borderId="3" applyAlignment="1" pivotButton="0" quotePrefix="0" xfId="3">
      <alignment horizontal="center" vertical="center" wrapText="1"/>
    </xf>
    <xf numFmtId="0" fontId="19" fillId="0" borderId="0" applyAlignment="1" pivotButton="0" quotePrefix="0" xfId="4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 shrinkToFit="1"/>
    </xf>
    <xf numFmtId="0" fontId="22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 wrapText="1"/>
    </xf>
    <xf numFmtId="0" fontId="21" fillId="0" borderId="0" applyAlignment="1" pivotButton="0" quotePrefix="0" xfId="4">
      <alignment vertical="center" wrapText="1"/>
    </xf>
    <xf numFmtId="0" fontId="12" fillId="0" borderId="0" applyAlignment="1" pivotButton="0" quotePrefix="0" xfId="4">
      <alignment vertical="center"/>
    </xf>
    <xf numFmtId="0" fontId="12" fillId="0" borderId="0" applyAlignment="1" pivotButton="0" quotePrefix="0" xfId="4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9" fillId="0" borderId="0" applyAlignment="1" pivotButton="0" quotePrefix="0" xfId="4">
      <alignment vertical="center"/>
    </xf>
    <xf numFmtId="0" fontId="21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7" borderId="4" applyAlignment="1" pivotButton="0" quotePrefix="0" xfId="0">
      <alignment horizontal="center" vertical="center" wrapText="1"/>
    </xf>
    <xf numFmtId="0" fontId="26" fillId="7" borderId="5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7" fillId="7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vertical="center" wrapText="1"/>
    </xf>
    <xf numFmtId="0" fontId="28" fillId="0" borderId="6" applyAlignment="1" pivotButton="0" quotePrefix="0" xfId="0">
      <alignment vertical="center" wrapText="1"/>
    </xf>
    <xf numFmtId="0" fontId="28" fillId="0" borderId="13" applyAlignment="1" pivotButton="0" quotePrefix="0" xfId="0">
      <alignment vertical="center" wrapText="1"/>
    </xf>
    <xf numFmtId="0" fontId="17" fillId="0" borderId="13" applyAlignment="1" pivotButton="0" quotePrefix="0" xfId="0">
      <alignment vertical="center" wrapText="1"/>
    </xf>
    <xf numFmtId="0" fontId="17" fillId="7" borderId="12" applyAlignment="1" pivotButton="0" quotePrefix="0" xfId="0">
      <alignment horizontal="center" vertical="center" wrapText="1"/>
    </xf>
    <xf numFmtId="0" fontId="21" fillId="0" borderId="2" applyAlignment="1" pivotButton="0" quotePrefix="0" xfId="0">
      <alignment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8" fillId="10" borderId="3" applyAlignment="1" pivotButton="0" quotePrefix="0" xfId="2">
      <alignment horizontal="left" vertical="center" wrapText="1"/>
    </xf>
    <xf numFmtId="0" fontId="8" fillId="10" borderId="3" applyAlignment="1" pivotButton="0" quotePrefix="0" xfId="0">
      <alignment horizontal="left" vertical="center" wrapText="1"/>
    </xf>
    <xf numFmtId="164" fontId="8" fillId="10" borderId="3" applyAlignment="1" pivotButton="0" quotePrefix="0" xfId="1">
      <alignment horizontal="left" vertical="center" wrapText="1"/>
    </xf>
    <xf numFmtId="0" fontId="8" fillId="10" borderId="3" applyAlignment="1" pivotButton="0" quotePrefix="0" xfId="2">
      <alignment horizontal="left" vertical="center"/>
    </xf>
    <xf numFmtId="0" fontId="8" fillId="11" borderId="3" applyAlignment="1" pivotButton="0" quotePrefix="0" xfId="2">
      <alignment horizontal="left" vertical="center"/>
    </xf>
    <xf numFmtId="0" fontId="8" fillId="11" borderId="3" applyAlignment="1" pivotButton="0" quotePrefix="0" xfId="0">
      <alignment horizontal="left" vertical="center" wrapText="1"/>
    </xf>
    <xf numFmtId="164" fontId="8" fillId="11" borderId="3" applyAlignment="1" pivotButton="0" quotePrefix="0" xfId="1">
      <alignment horizontal="left" vertical="center" wrapText="1"/>
    </xf>
    <xf numFmtId="0" fontId="8" fillId="11" borderId="3" applyAlignment="1" pivotButton="0" quotePrefix="0" xfId="2">
      <alignment horizontal="left" vertical="center" wrapText="1"/>
    </xf>
    <xf numFmtId="0" fontId="12" fillId="3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8" fillId="9" borderId="22" applyAlignment="1" pivotButton="0" quotePrefix="0" xfId="0">
      <alignment horizontal="center" vertical="center" wrapText="1"/>
    </xf>
    <xf numFmtId="0" fontId="8" fillId="9" borderId="2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49" fontId="1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8" fillId="5" borderId="3" applyAlignment="1" pivotButton="0" quotePrefix="0" xfId="3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8" fillId="9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2" pivotButton="0" quotePrefix="0" xfId="0"/>
    <xf numFmtId="164" fontId="8" fillId="11" borderId="3" applyAlignment="1" pivotButton="0" quotePrefix="0" xfId="1">
      <alignment horizontal="left" vertical="center" wrapText="1"/>
    </xf>
    <xf numFmtId="164" fontId="8" fillId="10" borderId="3" applyAlignment="1" pivotButton="0" quotePrefix="0" xfId="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21" fillId="0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7" fillId="0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17" fillId="0" borderId="4" applyAlignment="1" pivotButton="0" quotePrefix="0" xfId="0">
      <alignment horizontal="center" vertical="center" wrapText="1"/>
    </xf>
  </cellXfs>
  <cellStyles count="5">
    <cellStyle name="一般" xfId="0" builtinId="0"/>
    <cellStyle name="千分位[0]" xfId="1" builtinId="6"/>
    <cellStyle name="0,0_x000d__x000a_NA_x000d__x000a_" xfId="2"/>
    <cellStyle name="一般_Sheet1" xfId="3"/>
    <cellStyle name="一般 3" xfId="4"/>
  </cellStyles>
  <dxfs count="3"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AE30"/>
  <sheetViews>
    <sheetView tabSelected="1" zoomScaleNormal="100" workbookViewId="0">
      <selection activeCell="M4" sqref="M4:N4"/>
    </sheetView>
  </sheetViews>
  <sheetFormatPr baseColWidth="8" defaultColWidth="8.796875" defaultRowHeight="12.75"/>
  <cols>
    <col width="17.19921875" customWidth="1" min="2" max="2"/>
    <col width="23.19921875" customWidth="1" style="1" min="3" max="3"/>
    <col width="5.19921875" customWidth="1" style="10" min="4" max="4"/>
    <col width="9.19921875" customWidth="1" style="10" min="5" max="5"/>
    <col width="9.46484375" customWidth="1" min="6" max="6"/>
    <col width="9.19921875" customWidth="1" min="7" max="7"/>
    <col width="7" customWidth="1" min="8" max="8"/>
    <col width="6.19921875" customWidth="1" min="9" max="12"/>
    <col width="16.9296875" customWidth="1" min="13" max="13"/>
    <col width="17.06640625" customWidth="1" min="14" max="14"/>
    <col width="13.796875" bestFit="1" customWidth="1" min="15" max="15"/>
    <col width="9.46484375" bestFit="1" customWidth="1" min="16" max="17"/>
    <col width="13.796875" bestFit="1" customWidth="1" min="18" max="18"/>
    <col width="9.46484375" bestFit="1" customWidth="1" min="19" max="19"/>
    <col width="19.46484375" customWidth="1" min="20" max="20"/>
    <col width="7.46484375" customWidth="1" min="21" max="21"/>
    <col width="18.46484375" customWidth="1" min="22" max="22"/>
    <col width="7.53125" customWidth="1" min="23" max="24"/>
    <col width="10" customWidth="1" min="25" max="25"/>
    <col width="13" customWidth="1" min="26" max="27"/>
  </cols>
  <sheetData>
    <row r="1" ht="20.25" customFormat="1" customHeight="1" s="11">
      <c r="A1" s="78" t="inlineStr">
        <is>
          <t>Updated by Engine: 文件編號</t>
        </is>
      </c>
      <c r="B1" s="115" t="n"/>
      <c r="C1" s="81" t="inlineStr">
        <is>
          <t>IS-004-01</t>
        </is>
      </c>
      <c r="D1" s="79" t="inlineStr">
        <is>
          <t>資產及風險評鑑表</t>
        </is>
      </c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7" t="n"/>
      <c r="Z1" s="78" t="inlineStr">
        <is>
          <t>保密區分</t>
        </is>
      </c>
      <c r="AA1" s="118" t="n"/>
      <c r="AB1" s="115" t="n"/>
      <c r="AC1" s="81" t="inlineStr">
        <is>
          <t xml:space="preserve">內部使用 </t>
        </is>
      </c>
      <c r="AD1" s="118" t="n"/>
      <c r="AE1" s="115" t="n"/>
    </row>
    <row r="2" ht="20.25" customFormat="1" customHeight="1" s="11">
      <c r="A2" s="78" t="inlineStr">
        <is>
          <t>版    次</t>
        </is>
      </c>
      <c r="B2" s="115" t="n"/>
      <c r="C2" s="81" t="inlineStr">
        <is>
          <t>V1.0</t>
        </is>
      </c>
      <c r="D2" s="119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1" t="n"/>
      <c r="Z2" s="78" t="inlineStr">
        <is>
          <t>紀錄編號</t>
        </is>
      </c>
      <c r="AA2" s="118" t="n"/>
      <c r="AB2" s="115" t="n"/>
      <c r="AC2" s="81" t="n"/>
      <c r="AD2" s="118" t="n"/>
      <c r="AE2" s="115" t="n"/>
    </row>
    <row r="3" ht="15.6" customFormat="1" customHeight="1" s="7">
      <c r="A3" s="88" t="inlineStr">
        <is>
          <t>資產
編號</t>
        </is>
      </c>
      <c r="B3" s="88" t="inlineStr">
        <is>
          <t>名稱</t>
        </is>
      </c>
      <c r="C3" s="87" t="inlineStr">
        <is>
          <t>資產說明</t>
        </is>
      </c>
      <c r="D3" s="88" t="inlineStr">
        <is>
          <t>數量</t>
        </is>
      </c>
      <c r="E3" s="88" t="inlineStr">
        <is>
          <t>資產類別</t>
        </is>
      </c>
      <c r="F3" s="115" t="n"/>
      <c r="G3" s="88" t="inlineStr">
        <is>
          <t>部門</t>
        </is>
      </c>
      <c r="H3" s="88" t="inlineStr">
        <is>
          <t>管理者</t>
        </is>
      </c>
      <c r="I3" s="88" t="inlineStr">
        <is>
          <t>機密性</t>
        </is>
      </c>
      <c r="J3" s="88" t="inlineStr">
        <is>
          <t>完整性</t>
        </is>
      </c>
      <c r="K3" s="88" t="inlineStr">
        <is>
          <t>可用性</t>
        </is>
      </c>
      <c r="L3" s="88" t="inlineStr">
        <is>
          <t>價值
(P)</t>
        </is>
      </c>
      <c r="M3" s="114" t="inlineStr">
        <is>
          <t>組態管理</t>
        </is>
      </c>
      <c r="N3" s="115" t="n"/>
      <c r="O3" s="92" t="inlineStr">
        <is>
          <t>資料管理</t>
        </is>
      </c>
      <c r="P3" s="118" t="n"/>
      <c r="Q3" s="118" t="n"/>
      <c r="R3" s="118" t="n"/>
      <c r="S3" s="115" t="n"/>
      <c r="T3" s="90" t="inlineStr">
        <is>
          <t>威脅</t>
        </is>
      </c>
      <c r="U3" s="115" t="n"/>
      <c r="V3" s="90" t="inlineStr">
        <is>
          <t>弱點</t>
        </is>
      </c>
      <c r="W3" s="115" t="n"/>
      <c r="X3" s="67" t="inlineStr">
        <is>
          <t>衝擊</t>
        </is>
      </c>
      <c r="Y3" s="91" t="inlineStr">
        <is>
          <t>風險估計</t>
        </is>
      </c>
      <c r="Z3" s="89" t="inlineStr">
        <is>
          <t>風險處理</t>
        </is>
      </c>
      <c r="AA3" s="122" t="inlineStr">
        <is>
          <t>風險再評鑑</t>
        </is>
      </c>
      <c r="AB3" s="118" t="n"/>
      <c r="AC3" s="118" t="n"/>
      <c r="AD3" s="118" t="n"/>
      <c r="AE3" s="123" t="n"/>
    </row>
    <row r="4" ht="25.35" customFormat="1" customHeight="1" s="7">
      <c r="A4" s="124" t="n"/>
      <c r="B4" s="124" t="n"/>
      <c r="C4" s="124" t="n"/>
      <c r="D4" s="124" t="n"/>
      <c r="E4" s="88" t="inlineStr">
        <is>
          <t>主類別</t>
        </is>
      </c>
      <c r="F4" s="22" t="inlineStr">
        <is>
          <t>次類別</t>
        </is>
      </c>
      <c r="G4" s="124" t="n"/>
      <c r="H4" s="124" t="n"/>
      <c r="I4" s="124" t="n"/>
      <c r="J4" s="124" t="n"/>
      <c r="K4" s="124" t="n"/>
      <c r="L4" s="124" t="n"/>
      <c r="M4" s="114" t="inlineStr">
        <is>
          <t>組態檔版本及日期</t>
        </is>
      </c>
      <c r="N4" s="114" t="inlineStr">
        <is>
          <t>組態檔儲存位置</t>
        </is>
      </c>
      <c r="O4" s="92" t="inlineStr">
        <is>
          <t>資料儲存位置</t>
        </is>
      </c>
      <c r="P4" s="92" t="inlineStr">
        <is>
          <t>資料類型</t>
        </is>
      </c>
      <c r="Q4" s="92" t="inlineStr">
        <is>
          <t>安全要求</t>
        </is>
      </c>
      <c r="R4" s="92" t="inlineStr">
        <is>
          <t>資料儲存期限</t>
        </is>
      </c>
      <c r="S4" s="92" t="inlineStr">
        <is>
          <t>銷毀週期</t>
        </is>
      </c>
      <c r="T4" s="62" t="inlineStr">
        <is>
          <t>威脅名稱</t>
        </is>
      </c>
      <c r="U4" s="63" t="inlineStr">
        <is>
          <t>等級(T)</t>
        </is>
      </c>
      <c r="V4" s="62" t="inlineStr">
        <is>
          <t>弱點名稱</t>
        </is>
      </c>
      <c r="W4" s="63" t="inlineStr">
        <is>
          <t>等級(V)</t>
        </is>
      </c>
      <c r="X4" s="68" t="inlineStr">
        <is>
          <t>等級(I)</t>
        </is>
      </c>
      <c r="Y4" s="64" t="inlineStr">
        <is>
          <t>風險值
(P*T*V*I)</t>
        </is>
      </c>
      <c r="Z4" s="124" t="n"/>
      <c r="AA4" s="66" t="inlineStr">
        <is>
          <t>資產價值</t>
        </is>
      </c>
      <c r="AB4" s="89" t="inlineStr">
        <is>
          <t>威脅等級</t>
        </is>
      </c>
      <c r="AC4" s="89" t="inlineStr">
        <is>
          <t xml:space="preserve">脆弱等級 </t>
        </is>
      </c>
      <c r="AD4" s="66" t="inlineStr">
        <is>
          <t>衝擊等級</t>
        </is>
      </c>
      <c r="AE4" s="89" t="inlineStr">
        <is>
          <t>風險值</t>
        </is>
      </c>
    </row>
    <row r="5" ht="13.9" customFormat="1" customHeight="1" s="12">
      <c r="A5" s="19" t="n"/>
      <c r="B5" s="74" t="inlineStr">
        <is>
          <t>資訊人員</t>
        </is>
      </c>
      <c r="C5" s="75" t="inlineStr">
        <is>
          <t>負責公司訊訊維運</t>
        </is>
      </c>
      <c r="D5" s="75" t="n">
        <v>5</v>
      </c>
      <c r="E5" s="75" t="inlineStr">
        <is>
          <t>人員類</t>
        </is>
      </c>
      <c r="F5" s="75" t="inlineStr">
        <is>
          <t>資安人員</t>
        </is>
      </c>
      <c r="G5" s="75" t="n"/>
      <c r="H5" s="125" t="n"/>
      <c r="I5" s="75" t="n">
        <v>3</v>
      </c>
      <c r="J5" s="75" t="n">
        <v>1</v>
      </c>
      <c r="K5" s="75" t="n">
        <v>1</v>
      </c>
      <c r="L5" s="75">
        <f>SUM(I5:K5)</f>
        <v/>
      </c>
      <c r="M5" s="75" t="n"/>
      <c r="N5" s="75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60" t="n"/>
      <c r="Y5" s="69">
        <f>IF(L5*U5*W5*X5=0,"",L5*U5*W5*X5)</f>
        <v/>
      </c>
      <c r="Z5" s="13" t="n"/>
      <c r="AA5" s="60" t="n"/>
      <c r="AB5" s="13" t="n"/>
      <c r="AC5" s="13" t="n"/>
      <c r="AD5" s="60" t="n"/>
      <c r="AE5" s="69">
        <f>IF(AA5*AB5*AC5*AD5=0,"",AA5*AB5*AC5*AD5)</f>
        <v/>
      </c>
    </row>
    <row r="6" ht="13.9" customFormat="1" customHeight="1" s="12">
      <c r="A6" s="19" t="n"/>
      <c r="B6" s="77" t="inlineStr">
        <is>
          <t>開發人員</t>
        </is>
      </c>
      <c r="C6" s="77" t="inlineStr">
        <is>
          <t>執行專案開發</t>
        </is>
      </c>
      <c r="D6" s="75" t="n">
        <v>10</v>
      </c>
      <c r="E6" s="75" t="inlineStr">
        <is>
          <t>人員類</t>
        </is>
      </c>
      <c r="F6" s="75" t="inlineStr">
        <is>
          <t>資訊人員</t>
        </is>
      </c>
      <c r="G6" s="125" t="n"/>
      <c r="H6" s="125" t="n"/>
      <c r="I6" s="75" t="n">
        <v>2</v>
      </c>
      <c r="J6" s="75" t="n">
        <v>1</v>
      </c>
      <c r="K6" s="75" t="n">
        <v>1</v>
      </c>
      <c r="L6" s="75">
        <f>SUM(I6:K6)</f>
        <v/>
      </c>
      <c r="M6" s="75" t="n"/>
      <c r="N6" s="75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60" t="n"/>
      <c r="Y6" s="69">
        <f>IF(L6*U6*W6*X6=0,"",L6*U6*W6*X6)</f>
        <v/>
      </c>
      <c r="Z6" s="13" t="n"/>
      <c r="AA6" s="60" t="n"/>
      <c r="AB6" s="13" t="n"/>
      <c r="AC6" s="13" t="n"/>
      <c r="AD6" s="60" t="n"/>
      <c r="AE6" s="69">
        <f>IF(AA6*AB6*AC6*AD6=0,"",AA6*AB6*AC6*AD6)</f>
        <v/>
      </c>
    </row>
    <row r="7" ht="27.75" customFormat="1" customHeight="1" s="12">
      <c r="A7" s="19" t="n"/>
      <c r="B7" s="70" t="inlineStr">
        <is>
          <t>專案經理</t>
        </is>
      </c>
      <c r="C7" s="70" t="n"/>
      <c r="D7" s="71" t="n"/>
      <c r="E7" s="71" t="inlineStr">
        <is>
          <t>人員類</t>
        </is>
      </c>
      <c r="F7" s="71" t="inlineStr">
        <is>
          <t>一般主管及同仁</t>
        </is>
      </c>
      <c r="G7" s="126" t="n"/>
      <c r="H7" s="126" t="n"/>
      <c r="I7" s="71" t="n"/>
      <c r="J7" s="71" t="n"/>
      <c r="K7" s="71" t="n"/>
      <c r="L7" s="71">
        <f>SUM(I7:K7)</f>
        <v/>
      </c>
      <c r="M7" s="71" t="n"/>
      <c r="N7" s="71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60" t="n"/>
      <c r="Y7" s="69">
        <f>IF(L7*U7*W7*X7=0,"",L7*U7*W7*X7)</f>
        <v/>
      </c>
      <c r="Z7" s="13" t="n"/>
      <c r="AA7" s="60" t="n"/>
      <c r="AB7" s="13" t="n"/>
      <c r="AC7" s="13" t="n"/>
      <c r="AD7" s="60" t="n"/>
      <c r="AE7" s="69">
        <f>IF(AA7*AB7*AC7*AD7=0,"",AA7*AB7*AC7*AD7)</f>
        <v/>
      </c>
    </row>
    <row r="8" ht="13.9" customFormat="1" customHeight="1" s="12">
      <c r="A8" s="19" t="n"/>
      <c r="B8" s="73" t="inlineStr">
        <is>
          <t>助理</t>
        </is>
      </c>
      <c r="C8" s="71" t="n"/>
      <c r="D8" s="71" t="n"/>
      <c r="E8" s="71" t="n"/>
      <c r="F8" s="71" t="n"/>
      <c r="G8" s="71" t="n"/>
      <c r="H8" s="126" t="n"/>
      <c r="I8" s="71" t="n"/>
      <c r="J8" s="71" t="n"/>
      <c r="K8" s="71" t="n"/>
      <c r="L8" s="71">
        <f>SUM(I8:K8)</f>
        <v/>
      </c>
      <c r="M8" s="71" t="n"/>
      <c r="N8" s="71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60" t="n"/>
      <c r="Y8" s="69">
        <f>IF(L8*U8*W8*X8=0,"",L8*U8*W8*X8)</f>
        <v/>
      </c>
      <c r="Z8" s="13" t="n"/>
      <c r="AA8" s="60" t="n"/>
      <c r="AB8" s="13" t="n"/>
      <c r="AC8" s="13" t="n"/>
      <c r="AD8" s="60" t="n"/>
      <c r="AE8" s="69">
        <f>IF(AA8*AB8*AC8*AD8=0,"",AA8*AB8*AC8*AD8)</f>
        <v/>
      </c>
    </row>
    <row r="9" ht="13.9" customFormat="1" customHeight="1" s="12">
      <c r="A9" s="13" t="n"/>
      <c r="B9" s="13" t="n"/>
      <c r="C9" s="13" t="inlineStr">
        <is>
          <t>ERP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>
        <f>SUM(I9:K9)</f>
        <v/>
      </c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60" t="n"/>
      <c r="Y9" s="69">
        <f>IF(L9*U9*W9*X9=0,"",L9*U9*W9*X9)</f>
        <v/>
      </c>
      <c r="Z9" s="13" t="n"/>
      <c r="AA9" s="60" t="n"/>
      <c r="AB9" s="13" t="n"/>
      <c r="AC9" s="13" t="n"/>
      <c r="AD9" s="60" t="n"/>
      <c r="AE9" s="69">
        <f>IF(AA9*AB9*AC9*AD9=0,"",AA9*AB9*AC9*AD9)</f>
        <v/>
      </c>
    </row>
    <row r="10" ht="27.75" customFormat="1" customHeight="1" s="12">
      <c r="A10" s="13" t="inlineStr">
        <is>
          <t>參照資產表</t>
        </is>
      </c>
      <c r="B10" s="13" t="inlineStr">
        <is>
          <t>ERP主機</t>
        </is>
      </c>
      <c r="C10" s="13" t="inlineStr">
        <is>
          <t xml:space="preserve"> ERP　ＶＭ　　ＭＥＳ　ＳＡＰ　ＳＤ</t>
        </is>
      </c>
      <c r="D10" s="13" t="n"/>
      <c r="E10" s="13" t="inlineStr">
        <is>
          <t>硬體類</t>
        </is>
      </c>
      <c r="F10" s="13" t="inlineStr">
        <is>
          <t>伺服器</t>
        </is>
      </c>
      <c r="G10" s="13" t="n"/>
      <c r="H10" s="13" t="n"/>
      <c r="I10" s="13" t="n">
        <v>1</v>
      </c>
      <c r="J10" s="13" t="n">
        <v>3</v>
      </c>
      <c r="K10" s="20" t="n">
        <v>2</v>
      </c>
      <c r="L10" s="13">
        <f>SUM(I10:K10)</f>
        <v/>
      </c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60" t="n"/>
      <c r="Y10" s="69">
        <f>IF(L10*U10*W10*X10=0,"",L10*U10*W10*X10)</f>
        <v/>
      </c>
      <c r="Z10" s="13" t="n"/>
      <c r="AA10" s="60" t="n"/>
      <c r="AB10" s="13" t="n"/>
      <c r="AC10" s="13" t="n"/>
      <c r="AD10" s="60" t="n"/>
      <c r="AE10" s="69">
        <f>IF(AA10*AB10*AC10*AD10=0,"",AA10*AB10*AC10*AD10)</f>
        <v/>
      </c>
    </row>
    <row r="11" ht="27.75" customFormat="1" customHeight="1" s="12">
      <c r="A11" s="13" t="inlineStr">
        <is>
          <t>參照資產表</t>
        </is>
      </c>
      <c r="B11" s="13" t="inlineStr">
        <is>
          <t xml:space="preserve">ERP VM </t>
        </is>
      </c>
      <c r="C11" s="13" t="n"/>
      <c r="D11" s="13" t="n">
        <v>10</v>
      </c>
      <c r="E11" s="13" t="inlineStr">
        <is>
          <t>軟體類</t>
        </is>
      </c>
      <c r="F11" s="13" t="inlineStr">
        <is>
          <t>應用系統</t>
        </is>
      </c>
      <c r="G11" s="13" t="n"/>
      <c r="H11" s="13" t="n"/>
      <c r="I11" s="13" t="n">
        <v>2</v>
      </c>
      <c r="J11" s="13" t="n">
        <v>3</v>
      </c>
      <c r="K11" s="20" t="n"/>
      <c r="L11" s="13">
        <f>SUM(I11:K11)</f>
        <v/>
      </c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60" t="n"/>
      <c r="Y11" s="69">
        <f>IF(L11*U11*W11*X11=0,"",L11*U11*W11*X11)</f>
        <v/>
      </c>
      <c r="Z11" s="13" t="n"/>
      <c r="AA11" s="60" t="n"/>
      <c r="AB11" s="13" t="n"/>
      <c r="AC11" s="13" t="n"/>
      <c r="AD11" s="60" t="n"/>
      <c r="AE11" s="69">
        <f>IF(AA11*AB11*AC11*AD11=0,"",AA11*AB11*AC11*AD11)</f>
        <v/>
      </c>
    </row>
    <row r="12" ht="27.75" customFormat="1" customHeight="1" s="12">
      <c r="A12" s="13" t="inlineStr">
        <is>
          <t>參照資產表</t>
        </is>
      </c>
      <c r="B12" s="13" t="inlineStr">
        <is>
          <t>ERP SERVER 2018</t>
        </is>
      </c>
      <c r="C12" s="13" t="n"/>
      <c r="D12" s="13" t="n"/>
      <c r="E12" s="13" t="inlineStr">
        <is>
          <t>軟體類</t>
        </is>
      </c>
      <c r="F12" s="13" t="inlineStr">
        <is>
          <t>作業系統</t>
        </is>
      </c>
      <c r="G12" s="13" t="n"/>
      <c r="H12" s="13" t="n"/>
      <c r="I12" s="13" t="n">
        <v>2</v>
      </c>
      <c r="J12" s="13" t="n">
        <v>3</v>
      </c>
      <c r="K12" s="13" t="n"/>
      <c r="L12" s="13">
        <f>SUM(I12:K12)</f>
        <v/>
      </c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60" t="n"/>
      <c r="Y12" s="69">
        <f>IF(L12*U12*W12*X12=0,"",L12*U12*W12*X12)</f>
        <v/>
      </c>
      <c r="Z12" s="13" t="n"/>
      <c r="AA12" s="60" t="n"/>
      <c r="AB12" s="13" t="n"/>
      <c r="AC12" s="13" t="n"/>
      <c r="AD12" s="60" t="n"/>
      <c r="AE12" s="69">
        <f>IF(AA12*AB12*AC12*AD12=0,"",AA12*AB12*AC12*AD12)</f>
        <v/>
      </c>
    </row>
    <row r="13" ht="27.75" customFormat="1" customHeight="1" s="12">
      <c r="A13" s="13" t="inlineStr">
        <is>
          <t>參照資產表</t>
        </is>
      </c>
      <c r="B13" s="13" t="inlineStr">
        <is>
          <t>ERP 主系統</t>
        </is>
      </c>
      <c r="C13" s="13" t="n"/>
      <c r="D13" s="13" t="n"/>
      <c r="E13" s="13" t="inlineStr">
        <is>
          <t>軟體類</t>
        </is>
      </c>
      <c r="F13" s="13" t="inlineStr">
        <is>
          <t>套裝軟體</t>
        </is>
      </c>
      <c r="G13" s="13" t="n"/>
      <c r="H13" s="13" t="n"/>
      <c r="I13" s="13" t="n">
        <v>1</v>
      </c>
      <c r="J13" s="13" t="n">
        <v>2</v>
      </c>
      <c r="K13" s="13" t="n"/>
      <c r="L13" s="13">
        <f>SUM(I13:K13)</f>
        <v/>
      </c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60" t="n"/>
      <c r="Y13" s="69">
        <f>IF(L13*U13*W13*X13=0,"",L13*U13*W13*X13)</f>
        <v/>
      </c>
      <c r="Z13" s="13" t="n"/>
      <c r="AA13" s="60" t="n"/>
      <c r="AB13" s="13" t="n"/>
      <c r="AC13" s="13" t="n"/>
      <c r="AD13" s="60" t="n"/>
      <c r="AE13" s="69">
        <f>IF(AA13*AB13*AC13*AD13=0,"",AA13*AB13*AC13*AD13)</f>
        <v/>
      </c>
    </row>
    <row r="14" ht="27.75" customFormat="1" customHeight="1" s="12">
      <c r="A14" s="13" t="inlineStr">
        <is>
          <t>參照資產表</t>
        </is>
      </c>
      <c r="B14" s="13" t="inlineStr">
        <is>
          <t>ERP DB 資料</t>
        </is>
      </c>
      <c r="C14" s="13" t="n"/>
      <c r="D14" s="13" t="n"/>
      <c r="E14" s="13" t="inlineStr">
        <is>
          <t>資訊類</t>
        </is>
      </c>
      <c r="F14" s="13" t="inlineStr">
        <is>
          <t>營業秘密</t>
        </is>
      </c>
      <c r="G14" s="13" t="n"/>
      <c r="H14" s="13" t="n"/>
      <c r="I14" s="13" t="n">
        <v>3</v>
      </c>
      <c r="J14" s="13" t="n">
        <v>3</v>
      </c>
      <c r="K14" s="13" t="n"/>
      <c r="L14" s="13">
        <f>SUM(I14:K14)</f>
        <v/>
      </c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60" t="n"/>
      <c r="Y14" s="69">
        <f>IF(L14*U14*W14*X14=0,"",L14*U14*W14*X14)</f>
        <v/>
      </c>
      <c r="Z14" s="13" t="n"/>
      <c r="AA14" s="60" t="n"/>
      <c r="AB14" s="13" t="n"/>
      <c r="AC14" s="13" t="n"/>
      <c r="AD14" s="60" t="n"/>
      <c r="AE14" s="69">
        <f>IF(AA14*AB14*AC14*AD14=0,"",AA14*AB14*AC14*AD14)</f>
        <v/>
      </c>
    </row>
    <row r="15" ht="13.9" customFormat="1" customHeight="1" s="12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>
        <f>SUM(I15:K15)</f>
        <v/>
      </c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60" t="n"/>
      <c r="Y15" s="69">
        <f>IF(L15*U15*W15*X15=0,"",L15*U15*W15*X15)</f>
        <v/>
      </c>
      <c r="Z15" s="13" t="n"/>
      <c r="AA15" s="60" t="n"/>
      <c r="AB15" s="13" t="n"/>
      <c r="AC15" s="13" t="n"/>
      <c r="AD15" s="60" t="n"/>
      <c r="AE15" s="69">
        <f>IF(AA15*AB15*AC15*AD15=0,"",AA15*AB15*AC15*AD15)</f>
        <v/>
      </c>
    </row>
    <row r="16" ht="13.9" customFormat="1" customHeight="1" s="12">
      <c r="A16" s="13" t="n"/>
      <c r="B16" s="13" t="inlineStr">
        <is>
          <t xml:space="preserve">ＮＡＳ　</t>
        </is>
      </c>
      <c r="C16" s="13" t="n"/>
      <c r="D16" s="13" t="n"/>
      <c r="E16" s="13" t="inlineStr">
        <is>
          <t>硬體類</t>
        </is>
      </c>
      <c r="F16" s="13" t="inlineStr">
        <is>
          <t>伺服器</t>
        </is>
      </c>
      <c r="G16" s="13" t="n"/>
      <c r="H16" s="13" t="n"/>
      <c r="I16" s="13" t="n"/>
      <c r="J16" s="13" t="n">
        <v>2</v>
      </c>
      <c r="K16" s="13" t="n">
        <v>3</v>
      </c>
      <c r="L16" s="13">
        <f>SUM(I16:K16)</f>
        <v/>
      </c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60" t="n"/>
      <c r="Y16" s="69">
        <f>IF(L16*U16*W16*X16=0,"",L16*U16*W16*X16)</f>
        <v/>
      </c>
      <c r="Z16" s="13" t="n"/>
      <c r="AA16" s="60" t="n"/>
      <c r="AB16" s="13" t="n"/>
      <c r="AC16" s="13" t="n"/>
      <c r="AD16" s="60" t="n"/>
      <c r="AE16" s="69">
        <f>IF(AA16*AB16*AC16*AD16=0,"",AA16*AB16*AC16*AD16)</f>
        <v/>
      </c>
    </row>
    <row r="17" ht="27.75" customFormat="1" customHeight="1" s="12">
      <c r="A17" s="13" t="n"/>
      <c r="B17" s="13" t="inlineStr">
        <is>
          <t>NAS</t>
        </is>
      </c>
      <c r="C17" s="13" t="n"/>
      <c r="D17" s="13" t="n"/>
      <c r="E17" s="13" t="inlineStr">
        <is>
          <t>資訊類</t>
        </is>
      </c>
      <c r="F17" s="13" t="inlineStr">
        <is>
          <t>客戶一般資料</t>
        </is>
      </c>
      <c r="G17" s="13" t="n"/>
      <c r="H17" s="13" t="n"/>
      <c r="I17" s="13" t="n"/>
      <c r="J17" s="13" t="n"/>
      <c r="K17" s="13" t="n"/>
      <c r="L17" s="13">
        <f>SUM(I17:K17)</f>
        <v/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60" t="n"/>
      <c r="Y17" s="69">
        <f>IF(L17*U17*W17*X17=0,"",L17*U17*W17*X17)</f>
        <v/>
      </c>
      <c r="Z17" s="13" t="n"/>
      <c r="AA17" s="60" t="n"/>
      <c r="AB17" s="13" t="n"/>
      <c r="AC17" s="13" t="n"/>
      <c r="AD17" s="60" t="n"/>
      <c r="AE17" s="69">
        <f>IF(AA17*AB17*AC17*AD17=0,"",AA17*AB17*AC17*AD17)</f>
        <v/>
      </c>
    </row>
    <row r="18" ht="13.9" customFormat="1" customHeight="1" s="12">
      <c r="A18" s="13" t="n"/>
      <c r="B18" s="13" t="inlineStr">
        <is>
          <t>ＧＣＰ</t>
        </is>
      </c>
      <c r="C18" s="13" t="n"/>
      <c r="D18" s="13" t="n"/>
      <c r="E18" s="13" t="n"/>
      <c r="F18" s="13" t="n"/>
      <c r="G18" s="13" t="n"/>
      <c r="H18" s="13" t="n"/>
      <c r="I18" s="13" t="n">
        <v>3</v>
      </c>
      <c r="J18" s="13" t="n">
        <v>3</v>
      </c>
      <c r="K18" s="20" t="n">
        <v>3</v>
      </c>
      <c r="L18" s="13">
        <f>SUM(I18:K18)</f>
        <v/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60" t="n"/>
      <c r="Y18" s="69">
        <f>IF(L18*U18*W18*X18=0,"",L18*U18*W18*X18)</f>
        <v/>
      </c>
      <c r="Z18" s="13" t="n"/>
      <c r="AA18" s="60" t="n"/>
      <c r="AB18" s="13" t="n"/>
      <c r="AC18" s="13" t="n"/>
      <c r="AD18" s="60" t="n"/>
      <c r="AE18" s="69">
        <f>IF(AA18*AB18*AC18*AD18=0,"",AA18*AB18*AC18*AD18)</f>
        <v/>
      </c>
    </row>
    <row r="19" ht="13.9" customFormat="1" customHeight="1" s="12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20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69" t="n"/>
      <c r="Z19" s="13" t="n"/>
      <c r="AA19" s="13" t="n"/>
      <c r="AB19" s="13" t="n"/>
      <c r="AC19" s="13" t="n"/>
      <c r="AD19" s="13" t="n"/>
      <c r="AE19" s="69" t="n"/>
    </row>
    <row r="20" ht="27.75" customFormat="1" customHeight="1" s="12">
      <c r="A20" s="13" t="n"/>
      <c r="B20" s="13" t="inlineStr">
        <is>
          <t>HI_CLOUD</t>
        </is>
      </c>
      <c r="C20" s="13" t="inlineStr">
        <is>
          <t>電子發票平台服務_中華電信</t>
        </is>
      </c>
      <c r="D20" s="13" t="n"/>
      <c r="E20" s="13" t="inlineStr">
        <is>
          <t>軟體類</t>
        </is>
      </c>
      <c r="F20" s="13" t="inlineStr">
        <is>
          <t>雲端服務</t>
        </is>
      </c>
      <c r="G20" s="13" t="n"/>
      <c r="H20" s="13" t="n"/>
      <c r="I20" s="13" t="n"/>
      <c r="J20" s="13" t="n"/>
      <c r="K20" s="20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69" t="n"/>
      <c r="Z20" s="13" t="n"/>
      <c r="AA20" s="13" t="n"/>
      <c r="AB20" s="13" t="n"/>
      <c r="AC20" s="13" t="n"/>
      <c r="AD20" s="13" t="n"/>
      <c r="AE20" s="69" t="n"/>
    </row>
    <row r="21" ht="13.9" customFormat="1" customHeight="1" s="12">
      <c r="A21" s="13" t="n"/>
      <c r="B21" s="13" t="inlineStr">
        <is>
          <t>電子發票</t>
        </is>
      </c>
      <c r="C21" s="13" t="inlineStr">
        <is>
          <t>電子發票主系統</t>
        </is>
      </c>
      <c r="D21" s="13" t="n"/>
      <c r="E21" s="13" t="inlineStr">
        <is>
          <t>軟體類</t>
        </is>
      </c>
      <c r="F21" s="13" t="inlineStr">
        <is>
          <t>應用系統</t>
        </is>
      </c>
      <c r="G21" s="13" t="n"/>
      <c r="H21" s="13" t="n"/>
      <c r="I21" s="13" t="n"/>
      <c r="J21" s="13" t="n"/>
      <c r="K21" s="20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69" t="n"/>
      <c r="Z21" s="13" t="n"/>
      <c r="AA21" s="13" t="n"/>
      <c r="AB21" s="13" t="n"/>
      <c r="AC21" s="13" t="n"/>
      <c r="AD21" s="13" t="n"/>
      <c r="AE21" s="69" t="n"/>
    </row>
    <row r="22" ht="13.9" customFormat="1" customHeight="1" s="12">
      <c r="A22" s="13" t="n"/>
      <c r="B22" s="13" t="inlineStr">
        <is>
          <t>電子發票</t>
        </is>
      </c>
      <c r="C22" s="13" t="inlineStr">
        <is>
          <t>電子發票程式碼</t>
        </is>
      </c>
      <c r="D22" s="13" t="n"/>
      <c r="E22" s="13" t="inlineStr">
        <is>
          <t>資訊類</t>
        </is>
      </c>
      <c r="F22" s="13" t="inlineStr">
        <is>
          <t>程式源碼</t>
        </is>
      </c>
      <c r="G22" s="13" t="n"/>
      <c r="H22" s="13" t="n"/>
      <c r="I22" s="13" t="n"/>
      <c r="J22" s="13" t="n"/>
      <c r="K22" s="20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60" t="n"/>
      <c r="Y22" s="69">
        <f>IF(L22*U22*W22*X22=0,"",L22*U22*W22*X22)</f>
        <v/>
      </c>
      <c r="Z22" s="13" t="n"/>
      <c r="AA22" s="60" t="n"/>
      <c r="AB22" s="13" t="n"/>
      <c r="AC22" s="13" t="n"/>
      <c r="AD22" s="60" t="n"/>
      <c r="AE22" s="69">
        <f>IF(AA22*AB22*AC22*AD22=0,"",AA22*AB22*AC22*AD22)</f>
        <v/>
      </c>
    </row>
    <row r="23" ht="27.75" customFormat="1" customHeight="1" s="12">
      <c r="A23" s="13" t="n"/>
      <c r="B23" s="13" t="inlineStr">
        <is>
          <t>電子發票</t>
        </is>
      </c>
      <c r="C23" s="13" t="inlineStr">
        <is>
          <t>電子發票客戶資料</t>
        </is>
      </c>
      <c r="D23" s="13" t="n"/>
      <c r="E23" s="13" t="inlineStr">
        <is>
          <t>資訊類</t>
        </is>
      </c>
      <c r="F23" s="13" t="inlineStr">
        <is>
          <t>客戶機敏性資料</t>
        </is>
      </c>
      <c r="G23" s="13" t="n"/>
      <c r="H23" s="13" t="n"/>
      <c r="I23" s="13" t="n"/>
      <c r="J23" s="13" t="n"/>
      <c r="K23" s="20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69" t="n"/>
      <c r="Z23" s="13" t="n"/>
      <c r="AA23" s="13" t="n"/>
      <c r="AB23" s="13" t="n"/>
      <c r="AC23" s="13" t="n"/>
      <c r="AD23" s="13" t="n"/>
      <c r="AE23" s="69" t="n"/>
    </row>
    <row r="24" ht="27.75" customFormat="1" customHeight="1" s="12">
      <c r="A24" s="13" t="n"/>
      <c r="B24" s="13" t="n"/>
      <c r="C24" s="13" t="n"/>
      <c r="D24" s="13" t="n"/>
      <c r="E24" s="13" t="inlineStr">
        <is>
          <t>資訊類</t>
        </is>
      </c>
      <c r="F24" s="13" t="inlineStr">
        <is>
          <t>一般個人資料</t>
        </is>
      </c>
      <c r="G24" s="13" t="n"/>
      <c r="H24" s="13" t="n"/>
      <c r="I24" s="13" t="n"/>
      <c r="J24" s="13" t="n"/>
      <c r="K24" s="20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69" t="n"/>
      <c r="Z24" s="13" t="n"/>
      <c r="AA24" s="13" t="n"/>
      <c r="AB24" s="13" t="n"/>
      <c r="AC24" s="13" t="n"/>
      <c r="AD24" s="13" t="n"/>
      <c r="AE24" s="69" t="n"/>
    </row>
    <row r="25" ht="27.75" customFormat="1" customHeight="1" s="12">
      <c r="A25" s="13" t="n"/>
      <c r="B25" s="13" t="n"/>
      <c r="C25" s="13" t="n"/>
      <c r="D25" s="13" t="n"/>
      <c r="E25" s="13" t="inlineStr">
        <is>
          <t>資訊類</t>
        </is>
      </c>
      <c r="F25" s="13" t="inlineStr">
        <is>
          <t>客戶機敏性資料</t>
        </is>
      </c>
      <c r="G25" s="13" t="n"/>
      <c r="H25" s="13" t="n"/>
      <c r="I25" s="13" t="n"/>
      <c r="J25" s="13" t="n"/>
      <c r="K25" s="20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69" t="n"/>
      <c r="Z25" s="13" t="n"/>
      <c r="AA25" s="13" t="n"/>
      <c r="AB25" s="13" t="n"/>
      <c r="AC25" s="13" t="n"/>
      <c r="AD25" s="13" t="n"/>
      <c r="AE25" s="69" t="n"/>
    </row>
    <row r="26" ht="27.75" customFormat="1" customHeight="1" s="12">
      <c r="A26" s="13" t="n"/>
      <c r="B26" s="13" t="n"/>
      <c r="C26" s="13" t="n"/>
      <c r="D26" s="13" t="n"/>
      <c r="E26" s="13" t="inlineStr">
        <is>
          <t>資訊類</t>
        </is>
      </c>
      <c r="F26" s="13" t="inlineStr">
        <is>
          <t>客戶機敏性資料</t>
        </is>
      </c>
      <c r="G26" s="13" t="n"/>
      <c r="H26" s="13" t="n"/>
      <c r="I26" s="13" t="n"/>
      <c r="J26" s="13" t="n"/>
      <c r="K26" s="20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69" t="n"/>
      <c r="Z26" s="13" t="n"/>
      <c r="AA26" s="13" t="n"/>
      <c r="AB26" s="13" t="n"/>
      <c r="AC26" s="13" t="n"/>
      <c r="AD26" s="13" t="n"/>
      <c r="AE26" s="69" t="n"/>
    </row>
    <row r="27" ht="27.75" customFormat="1" customHeight="1" s="12">
      <c r="A27" s="13" t="n"/>
      <c r="B27" s="13" t="n"/>
      <c r="C27" s="13" t="n"/>
      <c r="D27" s="13" t="n"/>
      <c r="E27" s="13" t="inlineStr">
        <is>
          <t>資訊類</t>
        </is>
      </c>
      <c r="F27" s="13" t="inlineStr">
        <is>
          <t>客戶機敏性資料</t>
        </is>
      </c>
      <c r="G27" s="13" t="n"/>
      <c r="H27" s="13" t="n"/>
      <c r="I27" s="13" t="n"/>
      <c r="J27" s="13" t="n"/>
      <c r="K27" s="20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60" t="n"/>
      <c r="Y27" s="69">
        <f>IF(L27*U27*W27*X27=0,"",L27*U27*W27*X27)</f>
        <v/>
      </c>
      <c r="Z27" s="13" t="n"/>
      <c r="AA27" s="60" t="n"/>
      <c r="AB27" s="13" t="n"/>
      <c r="AC27" s="13" t="n"/>
      <c r="AD27" s="60" t="n"/>
      <c r="AE27" s="69">
        <f>IF(AA27*AB27*AC27*AD27=0,"",AA27*AB27*AC27*AD27)</f>
        <v/>
      </c>
    </row>
    <row r="28" ht="13.9" customFormat="1" customHeight="1" s="2">
      <c r="C28" s="8" t="inlineStr">
        <is>
          <t>承辦：</t>
        </is>
      </c>
      <c r="E28" s="9" t="n"/>
      <c r="F28" s="9" t="n"/>
      <c r="H28" s="3" t="n"/>
      <c r="I28" s="4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inlineStr">
        <is>
          <t>審核：</t>
        </is>
      </c>
      <c r="W28" s="5" t="n"/>
      <c r="AA28" s="6" t="n"/>
      <c r="AB28" s="6" t="n"/>
    </row>
    <row r="29" ht="13.9" customHeight="1">
      <c r="A29" s="2" t="n"/>
      <c r="U29" s="8" t="n"/>
    </row>
    <row r="30" ht="13.9" customHeight="1">
      <c r="A30" s="2" t="n"/>
      <c r="U30" s="8" t="n"/>
    </row>
  </sheetData>
  <mergeCells count="24">
    <mergeCell ref="D1:Y2"/>
    <mergeCell ref="O3:S3"/>
    <mergeCell ref="L3:L4"/>
    <mergeCell ref="B3:B4"/>
    <mergeCell ref="A1:B1"/>
    <mergeCell ref="Z3:Z4"/>
    <mergeCell ref="Z2:AB2"/>
    <mergeCell ref="AC1:AE1"/>
    <mergeCell ref="A3:A4"/>
    <mergeCell ref="G3:G4"/>
    <mergeCell ref="I3:I4"/>
    <mergeCell ref="D3:D4"/>
    <mergeCell ref="Z1:AB1"/>
    <mergeCell ref="A2:B2"/>
    <mergeCell ref="AC2:AE2"/>
    <mergeCell ref="H3:H4"/>
    <mergeCell ref="J3:J4"/>
    <mergeCell ref="M3:N3"/>
    <mergeCell ref="AA3:AE3"/>
    <mergeCell ref="K3:K4"/>
    <mergeCell ref="C3:C4"/>
    <mergeCell ref="E3:F3"/>
    <mergeCell ref="T3:U3"/>
    <mergeCell ref="V3:W3"/>
  </mergeCells>
  <dataValidations xWindow="1055" yWindow="350" count="8">
    <dataValidation sqref="E5:E27" showDropDown="0" showInputMessage="1" showErrorMessage="1" allowBlank="1" type="list">
      <formula1>主類別</formula1>
    </dataValidation>
    <dataValidation sqref="F5:F27" showDropDown="0" showInputMessage="1" showErrorMessage="0" allowBlank="1" prompt="請使用下拉式選單或自行在資產威脅對照表擴充所需項目" type="list" errorStyle="information">
      <formula1>INDIRECT(E5&amp;$F$4)</formula1>
    </dataValidation>
    <dataValidation sqref="P5:P27" showDropDown="0" showInputMessage="1" showErrorMessage="1" allowBlank="1" type="list">
      <formula1>資料類型</formula1>
    </dataValidation>
    <dataValidation sqref="T5:T27" showDropDown="0" showInputMessage="1" showErrorMessage="1" allowBlank="1" type="list">
      <formula1>INDIRECT(E5&amp;$T$3)</formula1>
    </dataValidation>
    <dataValidation sqref="V5:V27" showDropDown="0" showInputMessage="1" showErrorMessage="1" allowBlank="1" type="list">
      <formula1>INDIRECT(E5&amp;$T$3&amp;$V$3)</formula1>
    </dataValidation>
    <dataValidation sqref="V29:V1048576" showDropDown="0" showInputMessage="1" showErrorMessage="0" allowBlank="1" errorStyle="information"/>
    <dataValidation sqref="T29:T1048576" showDropDown="0" showInputMessage="1" showErrorMessage="0" allowBlank="1" prompt="請使用下拉式選單或自行在資產威脅對照表擴充所需項目" type="list" errorStyle="information">
      <formula1>INDIRECT(M31)</formula1>
    </dataValidation>
    <dataValidation sqref="F29:F1048576" showDropDown="0" showInputMessage="1" showErrorMessage="0" allowBlank="1" prompt="請使用下拉式選單或自行在資產威脅對照表擴充所需項目" type="list" errorStyle="information">
      <formula1>資產類別</formula1>
    </dataValidation>
  </dataValidations>
  <pageMargins left="0.3543307086614174" right="0.3543307086614174" top="0.984251968503937" bottom="0.5905511811023623" header="0.5118110236220472" footer="0.5118110236220472"/>
  <pageSetup orientation="landscape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zoomScale="140" zoomScaleNormal="140" workbookViewId="0">
      <selection activeCell="H7" sqref="H7"/>
    </sheetView>
  </sheetViews>
  <sheetFormatPr baseColWidth="8" defaultRowHeight="12.75"/>
  <cols>
    <col width="16.796875" customWidth="1" min="1" max="1"/>
    <col width="6.53125" customWidth="1" min="2" max="2"/>
    <col width="17.19921875" bestFit="1" customWidth="1" min="3" max="4"/>
    <col width="14.796875" bestFit="1" customWidth="1" min="5" max="6"/>
    <col width="17.19921875" bestFit="1" customWidth="1" min="7" max="7"/>
    <col width="14.796875" bestFit="1" customWidth="1" min="8" max="8"/>
    <col width="13.19921875" customWidth="1" min="10" max="10"/>
  </cols>
  <sheetData>
    <row r="1" ht="16.15" customHeight="1">
      <c r="A1" s="14" t="inlineStr">
        <is>
          <t>主類別</t>
        </is>
      </c>
      <c r="C1" s="93" t="inlineStr">
        <is>
          <t>次類別</t>
        </is>
      </c>
      <c r="J1" s="14" t="inlineStr">
        <is>
          <t>資料類型</t>
        </is>
      </c>
    </row>
    <row r="2" ht="16.15" customHeight="1">
      <c r="A2" s="15" t="inlineStr">
        <is>
          <t>人員類</t>
        </is>
      </c>
      <c r="B2" s="15" t="n"/>
      <c r="C2" s="15" t="inlineStr">
        <is>
          <t>人員類次類別</t>
        </is>
      </c>
      <c r="D2" s="15" t="inlineStr">
        <is>
          <t>資訊類次類別</t>
        </is>
      </c>
      <c r="E2" s="15" t="inlineStr">
        <is>
          <t>通訊類次類別</t>
        </is>
      </c>
      <c r="F2" s="15" t="inlineStr">
        <is>
          <t>軟體類次類別</t>
        </is>
      </c>
      <c r="G2" s="15" t="inlineStr">
        <is>
          <t>硬體類次類別</t>
        </is>
      </c>
      <c r="H2" s="15" t="inlineStr">
        <is>
          <t>環境類次類別</t>
        </is>
      </c>
      <c r="I2" s="15" t="n"/>
      <c r="J2" s="15" t="inlineStr">
        <is>
          <t>資料庫</t>
        </is>
      </c>
    </row>
    <row r="3" ht="16.15" customHeight="1">
      <c r="A3" s="16" t="inlineStr">
        <is>
          <t>資訊類</t>
        </is>
      </c>
      <c r="B3" s="15" t="n"/>
      <c r="C3" s="15" t="inlineStr">
        <is>
          <t>一般主管及同仁</t>
        </is>
      </c>
      <c r="D3" s="15" t="inlineStr">
        <is>
          <t>程式源碼</t>
        </is>
      </c>
      <c r="E3" s="15" t="inlineStr">
        <is>
          <t>網路設備</t>
        </is>
      </c>
      <c r="F3" s="15" t="inlineStr">
        <is>
          <t>作業系統</t>
        </is>
      </c>
      <c r="G3" s="15" t="inlineStr">
        <is>
          <t>個人電腦</t>
        </is>
      </c>
      <c r="H3" s="15" t="inlineStr">
        <is>
          <t>一般辦公區域</t>
        </is>
      </c>
      <c r="I3" s="15" t="n"/>
      <c r="J3" s="15" t="inlineStr">
        <is>
          <t>電子檔案</t>
        </is>
      </c>
    </row>
    <row r="4" ht="16.15" customHeight="1">
      <c r="A4" s="17" t="inlineStr">
        <is>
          <t>軟體類</t>
        </is>
      </c>
      <c r="B4" s="15" t="n"/>
      <c r="C4" s="15" t="inlineStr">
        <is>
          <t>資訊主管</t>
        </is>
      </c>
      <c r="D4" s="15" t="inlineStr">
        <is>
          <t>一般個人資料</t>
        </is>
      </c>
      <c r="E4" s="15" t="inlineStr">
        <is>
          <t>傳輸線路服務</t>
        </is>
      </c>
      <c r="F4" s="15" t="inlineStr">
        <is>
          <t>應用系統</t>
        </is>
      </c>
      <c r="G4" s="15" t="inlineStr">
        <is>
          <t>筆記型電腦</t>
        </is>
      </c>
      <c r="H4" s="15" t="inlineStr">
        <is>
          <t>特殊辦公區域</t>
        </is>
      </c>
      <c r="I4" s="15" t="n"/>
      <c r="J4" s="15" t="inlineStr">
        <is>
          <t>紙本文件</t>
        </is>
      </c>
    </row>
    <row r="5" ht="16.15" customHeight="1">
      <c r="A5" s="17" t="inlineStr">
        <is>
          <t>硬體類</t>
        </is>
      </c>
      <c r="B5" s="15" t="n"/>
      <c r="C5" s="15" t="inlineStr">
        <is>
          <t>資訊人員</t>
        </is>
      </c>
      <c r="D5" s="15" t="inlineStr">
        <is>
          <t>特種個人資料</t>
        </is>
      </c>
      <c r="E5" s="15" t="inlineStr">
        <is>
          <t>其它通訊</t>
        </is>
      </c>
      <c r="F5" s="15" t="inlineStr">
        <is>
          <t>套裝軟體</t>
        </is>
      </c>
      <c r="G5" s="15" t="inlineStr">
        <is>
          <t>伺服器</t>
        </is>
      </c>
      <c r="H5" s="15" t="inlineStr">
        <is>
          <t>資訊機房</t>
        </is>
      </c>
      <c r="I5" s="15" t="n"/>
      <c r="J5" s="15" t="inlineStr">
        <is>
          <t>紙本及電子檔</t>
        </is>
      </c>
    </row>
    <row r="6" ht="16.15" customHeight="1">
      <c r="A6" s="17" t="inlineStr">
        <is>
          <t>通訊類</t>
        </is>
      </c>
      <c r="B6" s="15" t="n"/>
      <c r="C6" s="15" t="inlineStr">
        <is>
          <t>資安人員</t>
        </is>
      </c>
      <c r="D6" s="15" t="inlineStr">
        <is>
          <t>營業秘密</t>
        </is>
      </c>
      <c r="E6" s="15" t="n"/>
      <c r="F6" s="15" t="inlineStr">
        <is>
          <t>軟體開發工具</t>
        </is>
      </c>
      <c r="G6" s="15" t="inlineStr">
        <is>
          <t>可攜式儲存媒體</t>
        </is>
      </c>
      <c r="H6" s="15" t="inlineStr">
        <is>
          <t>電力設備</t>
        </is>
      </c>
      <c r="I6" s="15" t="n"/>
      <c r="J6" s="15" t="n"/>
    </row>
    <row r="7" ht="16.15" customHeight="1">
      <c r="A7" s="15" t="inlineStr">
        <is>
          <t>環境類</t>
        </is>
      </c>
      <c r="B7" s="15" t="n"/>
      <c r="C7" s="15" t="inlineStr">
        <is>
          <t>委外廠商人員</t>
        </is>
      </c>
      <c r="D7" s="15" t="inlineStr">
        <is>
          <t>客戶一般資料</t>
        </is>
      </c>
      <c r="E7" s="15" t="n"/>
      <c r="F7" s="15" t="inlineStr">
        <is>
          <t>雲端服務</t>
        </is>
      </c>
      <c r="G7" s="15" t="inlineStr">
        <is>
          <t>電腦保護設施</t>
        </is>
      </c>
      <c r="H7" s="15" t="inlineStr">
        <is>
          <t>消防設施</t>
        </is>
      </c>
      <c r="I7" s="15" t="n"/>
      <c r="J7" s="15" t="n"/>
    </row>
    <row r="8" ht="16.15" customHeight="1">
      <c r="B8" s="15" t="n"/>
      <c r="C8" s="15" t="inlineStr">
        <is>
          <t>其它人員類</t>
        </is>
      </c>
      <c r="D8" s="15" t="inlineStr">
        <is>
          <t>客戶機敏性資料</t>
        </is>
      </c>
      <c r="E8" s="15" t="n"/>
      <c r="F8" s="15" t="inlineStr">
        <is>
          <t>其它軟體</t>
        </is>
      </c>
      <c r="G8" s="15" t="inlineStr">
        <is>
          <t>其他硬體</t>
        </is>
      </c>
      <c r="H8" s="15" t="inlineStr">
        <is>
          <t>倉庫</t>
        </is>
      </c>
      <c r="I8" s="15" t="n"/>
      <c r="J8" s="15" t="n"/>
    </row>
    <row r="9" ht="16.15" customHeight="1">
      <c r="A9" s="15" t="n"/>
      <c r="B9" s="15" t="n"/>
      <c r="C9" s="15" t="n"/>
      <c r="D9" s="15" t="inlineStr">
        <is>
          <t>日誌</t>
        </is>
      </c>
      <c r="E9" s="15" t="n"/>
      <c r="F9" s="15" t="n"/>
      <c r="G9" s="11" t="n"/>
      <c r="H9" s="15" t="inlineStr">
        <is>
          <t>建築保護設施</t>
        </is>
      </c>
      <c r="I9" s="15" t="n"/>
      <c r="J9" s="15" t="n"/>
    </row>
    <row r="10" ht="16.15" customHeight="1">
      <c r="A10" s="11" t="n"/>
      <c r="B10" s="11" t="n"/>
      <c r="C10" s="15" t="n"/>
      <c r="D10" s="15" t="inlineStr">
        <is>
          <t>數位金鑰</t>
        </is>
      </c>
      <c r="E10" s="15" t="n"/>
      <c r="F10" s="15" t="n"/>
      <c r="G10" s="15" t="n"/>
      <c r="H10" s="15" t="inlineStr">
        <is>
          <t>其它環境</t>
        </is>
      </c>
      <c r="I10" s="15" t="n"/>
      <c r="J10" s="15" t="n"/>
    </row>
    <row r="11" ht="16.15" customHeight="1">
      <c r="A11" s="11" t="n"/>
      <c r="B11" s="11" t="n"/>
      <c r="C11" s="11" t="n"/>
      <c r="D11" s="15" t="inlineStr">
        <is>
          <t>其它資訊</t>
        </is>
      </c>
      <c r="E11" s="11" t="n"/>
      <c r="F11" s="15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 ht="16.15" customHeight="1">
      <c r="B13" s="15" t="n"/>
      <c r="C13" s="11" t="n"/>
      <c r="D13" s="11" t="n"/>
      <c r="E13" s="11" t="n"/>
      <c r="F13" s="11" t="n"/>
      <c r="G13" s="11" t="n"/>
      <c r="H13" s="11" t="n"/>
    </row>
    <row r="14" ht="16.15" customHeight="1">
      <c r="B14" s="15" t="n"/>
      <c r="C14" s="11" t="n"/>
      <c r="D14" s="11" t="n"/>
      <c r="E14" s="11" t="n"/>
      <c r="F14" s="11" t="n"/>
      <c r="G14" s="11" t="n"/>
      <c r="H14" s="11" t="n"/>
    </row>
    <row r="15" ht="16.15" customHeight="1">
      <c r="B15" s="15" t="n"/>
    </row>
    <row r="16" ht="16.15" customHeight="1">
      <c r="B16" s="15" t="n"/>
    </row>
  </sheetData>
  <mergeCells count="1"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2">
    <outlinePr summaryBelow="1" summaryRight="1"/>
    <pageSetUpPr/>
  </sheetPr>
  <dimension ref="A1:S36"/>
  <sheetViews>
    <sheetView zoomScale="70" zoomScaleNormal="70" workbookViewId="0">
      <selection activeCell="B23" sqref="B23"/>
    </sheetView>
  </sheetViews>
  <sheetFormatPr baseColWidth="8" defaultColWidth="13.19921875" defaultRowHeight="16.15"/>
  <cols>
    <col width="34" customWidth="1" style="15" min="1" max="1"/>
    <col width="60.19921875" customWidth="1" style="15" min="2" max="2"/>
    <col width="36" customWidth="1" style="15" min="3" max="3"/>
    <col width="35.19921875" customWidth="1" style="15" min="4" max="4"/>
    <col width="33.796875" customWidth="1" style="15" min="5" max="5"/>
    <col width="35.796875" customWidth="1" style="15" min="6" max="6"/>
    <col width="18.19921875" customWidth="1" style="15" min="7" max="7"/>
    <col width="23" customWidth="1" style="15" min="8" max="8"/>
    <col width="32.53125" customWidth="1" style="15" min="9" max="10"/>
    <col width="36.53125" customWidth="1" style="15" min="11" max="11"/>
    <col width="40.53125" customWidth="1" style="15" min="12" max="12"/>
    <col width="36.53125" customWidth="1" style="15" min="13" max="13"/>
    <col width="35.19921875" customWidth="1" style="15" min="14" max="14"/>
    <col width="8" customWidth="1" style="15" min="15" max="18"/>
    <col width="60.19921875" bestFit="1" customWidth="1" style="15" min="19" max="19"/>
    <col width="8" customWidth="1" style="15" min="20" max="26"/>
    <col width="13.19921875" customWidth="1" style="15" min="27" max="16384"/>
  </cols>
  <sheetData>
    <row r="1">
      <c r="A1" s="24" t="inlineStr">
        <is>
          <t>人員類威脅</t>
        </is>
      </c>
      <c r="B1" s="25" t="inlineStr">
        <is>
          <t>資訊類威脅</t>
        </is>
      </c>
      <c r="C1" s="26" t="inlineStr">
        <is>
          <t>軟體類威脅</t>
        </is>
      </c>
      <c r="D1" s="27" t="inlineStr">
        <is>
          <t>硬體類威脅</t>
        </is>
      </c>
      <c r="E1" s="25" t="inlineStr">
        <is>
          <t>通訊類威脅</t>
        </is>
      </c>
      <c r="F1" s="28" t="inlineStr">
        <is>
          <t>環境類威脅</t>
        </is>
      </c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</row>
    <row r="2">
      <c r="A2" s="24" t="inlineStr">
        <is>
          <t>火災</t>
        </is>
      </c>
      <c r="B2" s="30" t="inlineStr">
        <is>
          <t>火災</t>
        </is>
      </c>
      <c r="C2" s="31" t="inlineStr">
        <is>
          <t>通信設備故障</t>
        </is>
      </c>
      <c r="D2" s="24" t="inlineStr">
        <is>
          <t>通信設備故障</t>
        </is>
      </c>
      <c r="E2" s="30" t="inlineStr">
        <is>
          <t>通信設備故障</t>
        </is>
      </c>
      <c r="F2" s="31" t="inlineStr">
        <is>
          <t>通信設備故障</t>
        </is>
      </c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</row>
    <row r="3">
      <c r="A3" s="24" t="inlineStr">
        <is>
          <t>水災</t>
        </is>
      </c>
      <c r="B3" s="30" t="inlineStr">
        <is>
          <t>水災</t>
        </is>
      </c>
      <c r="C3" s="31" t="inlineStr">
        <is>
          <t>資訊媒體處置或報廢</t>
        </is>
      </c>
      <c r="D3" s="24" t="inlineStr">
        <is>
          <t>資訊媒體處置或報廢</t>
        </is>
      </c>
      <c r="E3" s="30" t="inlineStr">
        <is>
          <t>資訊媒體處置或報廢</t>
        </is>
      </c>
      <c r="F3" s="31" t="inlineStr">
        <is>
          <t>資訊媒體處置或報廢</t>
        </is>
      </c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</row>
    <row r="4">
      <c r="A4" s="24" t="inlineStr">
        <is>
          <t>污染</t>
        </is>
      </c>
      <c r="B4" s="30" t="inlineStr">
        <is>
          <t>污染</t>
        </is>
      </c>
      <c r="C4" s="31" t="inlineStr">
        <is>
          <t>不可信來源的資料</t>
        </is>
      </c>
      <c r="D4" s="24" t="inlineStr">
        <is>
          <t>不可信來源的資料</t>
        </is>
      </c>
      <c r="E4" s="30" t="inlineStr">
        <is>
          <t>不可信來源的資料</t>
        </is>
      </c>
      <c r="F4" s="31" t="inlineStr">
        <is>
          <t>不可信來源的資料</t>
        </is>
      </c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</row>
    <row r="5">
      <c r="A5" s="24" t="inlineStr">
        <is>
          <t>重大安全事故</t>
        </is>
      </c>
      <c r="B5" s="30" t="inlineStr">
        <is>
          <t>重大安全事故</t>
        </is>
      </c>
      <c r="C5" s="31" t="inlineStr">
        <is>
          <t>軟體欺詐複製</t>
        </is>
      </c>
      <c r="D5" s="24" t="inlineStr">
        <is>
          <t>駭客、 破密高手</t>
        </is>
      </c>
      <c r="E5" s="30" t="inlineStr">
        <is>
          <t>駭客、 破密高手</t>
        </is>
      </c>
      <c r="F5" s="31" t="inlineStr">
        <is>
          <t>駭客、 破密高手</t>
        </is>
      </c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</row>
    <row r="6">
      <c r="A6" s="24" t="inlineStr">
        <is>
          <t>資訊媒體處置或報廢</t>
        </is>
      </c>
      <c r="B6" s="30" t="inlineStr">
        <is>
          <t>資訊媒體處置或報廢</t>
        </is>
      </c>
      <c r="C6" s="31" t="inlineStr">
        <is>
          <t>資料損毀</t>
        </is>
      </c>
      <c r="D6" s="24" t="inlineStr">
        <is>
          <t>恐怖分子</t>
        </is>
      </c>
      <c r="E6" s="30" t="inlineStr">
        <is>
          <t>恐怖分子</t>
        </is>
      </c>
      <c r="F6" s="31" t="inlineStr">
        <is>
          <t>恐怖分子</t>
        </is>
      </c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</row>
    <row r="7" ht="30.75" customHeight="1">
      <c r="A7" s="24" t="inlineStr">
        <is>
          <t>不可信來源的資料</t>
        </is>
      </c>
      <c r="B7" s="30" t="inlineStr">
        <is>
          <t>不可信來源的資料</t>
        </is>
      </c>
      <c r="C7" s="31" t="inlineStr">
        <is>
          <t>非法處理資料</t>
        </is>
      </c>
      <c r="D7" s="24" t="inlineStr">
        <is>
          <t>內部員工（劣質訓練、不滿、惡意、疏忽、被解雇）</t>
        </is>
      </c>
      <c r="E7" s="30" t="inlineStr">
        <is>
          <t>內部員工（劣質訓練、不滿、惡意、疏忽、被解雇）</t>
        </is>
      </c>
      <c r="F7" s="31" t="inlineStr">
        <is>
          <t>內部員工（劣質訓練、不滿、惡意、疏忽、被解雇）</t>
        </is>
      </c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</row>
    <row r="8">
      <c r="A8" s="24" t="inlineStr">
        <is>
          <t>擅自使用設備</t>
        </is>
      </c>
      <c r="B8" s="30" t="inlineStr">
        <is>
          <t>軟體欺詐複製</t>
        </is>
      </c>
      <c r="C8" s="31" t="inlineStr">
        <is>
          <t>使用中的錯誤</t>
        </is>
      </c>
      <c r="D8" s="24" t="inlineStr">
        <is>
          <t>空調或供水失能</t>
        </is>
      </c>
      <c r="E8" s="30" t="inlineStr">
        <is>
          <t>空調或供水失能</t>
        </is>
      </c>
      <c r="F8" s="31" t="inlineStr">
        <is>
          <t>空調或供水失能</t>
        </is>
      </c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</row>
    <row r="9">
      <c r="A9" s="24" t="inlineStr">
        <is>
          <t>軟體欺詐複製</t>
        </is>
      </c>
      <c r="B9" s="30" t="inlineStr">
        <is>
          <t>資料損毀</t>
        </is>
      </c>
      <c r="C9" s="31" t="inlineStr">
        <is>
          <t>濫用職權</t>
        </is>
      </c>
      <c r="D9" s="24" t="inlineStr">
        <is>
          <t>電力喪失</t>
        </is>
      </c>
      <c r="E9" s="30" t="inlineStr">
        <is>
          <t>電力喪失</t>
        </is>
      </c>
      <c r="F9" s="31" t="inlineStr">
        <is>
          <t>電力喪失</t>
        </is>
      </c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</row>
    <row r="10">
      <c r="A10" s="24" t="inlineStr">
        <is>
          <t>使用偽造或盜版軟體</t>
        </is>
      </c>
      <c r="B10" s="30" t="inlineStr">
        <is>
          <t>非法處理資料</t>
        </is>
      </c>
      <c r="C10" s="31" t="inlineStr">
        <is>
          <t>職權偽造</t>
        </is>
      </c>
      <c r="D10" s="24" t="inlineStr">
        <is>
          <t>資訊或訊號截取</t>
        </is>
      </c>
      <c r="E10" s="30" t="inlineStr">
        <is>
          <t>資訊或訊號截取</t>
        </is>
      </c>
      <c r="F10" s="31" t="inlineStr">
        <is>
          <t>資訊或訊號截取</t>
        </is>
      </c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</row>
    <row r="11">
      <c r="A11" s="24" t="inlineStr">
        <is>
          <t>資料損毀</t>
        </is>
      </c>
      <c r="B11" s="30" t="inlineStr">
        <is>
          <t>使用中的錯誤</t>
        </is>
      </c>
      <c r="C11" s="31" t="inlineStr">
        <is>
          <t>駭客、 破密高手</t>
        </is>
      </c>
      <c r="D11" s="24" t="inlineStr">
        <is>
          <t>遠端監控偵收</t>
        </is>
      </c>
      <c r="E11" s="30" t="inlineStr">
        <is>
          <t>遠端監控偵收</t>
        </is>
      </c>
      <c r="F11" s="31" t="inlineStr">
        <is>
          <t>遠端監控偵收</t>
        </is>
      </c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</row>
    <row r="12">
      <c r="A12" s="24" t="inlineStr">
        <is>
          <t>非法處理資料</t>
        </is>
      </c>
      <c r="B12" s="30" t="inlineStr">
        <is>
          <t>濫用職權</t>
        </is>
      </c>
      <c r="C12" s="31" t="inlineStr">
        <is>
          <t>資訊犯罪</t>
        </is>
      </c>
      <c r="D12" s="24" t="inlineStr">
        <is>
          <t>竊取媒體或文件</t>
        </is>
      </c>
      <c r="E12" s="30" t="inlineStr">
        <is>
          <t>竊取媒體或文件</t>
        </is>
      </c>
      <c r="F12" s="31" t="inlineStr">
        <is>
          <t>竊取媒體或文件</t>
        </is>
      </c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</row>
    <row r="13">
      <c r="A13" s="24" t="inlineStr">
        <is>
          <t>使用中的錯誤</t>
        </is>
      </c>
      <c r="B13" s="30" t="inlineStr">
        <is>
          <t>職權偽造</t>
        </is>
      </c>
      <c r="C13" s="31" t="inlineStr">
        <is>
          <t>恐怖分子</t>
        </is>
      </c>
      <c r="D13" s="24" t="inlineStr">
        <is>
          <t>盜竊設備</t>
        </is>
      </c>
      <c r="E13" s="30" t="inlineStr">
        <is>
          <t>盜竊設備</t>
        </is>
      </c>
      <c r="F13" s="31" t="inlineStr">
        <is>
          <t>盜竊設備</t>
        </is>
      </c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</row>
    <row r="14">
      <c r="A14" s="24" t="inlineStr">
        <is>
          <t>濫用職權</t>
        </is>
      </c>
      <c r="B14" s="30" t="inlineStr">
        <is>
          <t>駭客、 破密高手</t>
        </is>
      </c>
      <c r="C14" s="31" t="inlineStr">
        <is>
          <t>工商業業間諜活動</t>
        </is>
      </c>
      <c r="D14" s="24" t="inlineStr">
        <is>
          <t>資訊洩露</t>
        </is>
      </c>
      <c r="E14" s="30" t="inlineStr">
        <is>
          <t>資訊洩露</t>
        </is>
      </c>
      <c r="F14" s="31" t="inlineStr">
        <is>
          <t>資訊洩露</t>
        </is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</row>
    <row r="15" ht="30.75" customHeight="1">
      <c r="A15" s="24" t="inlineStr">
        <is>
          <t>職權偽造</t>
        </is>
      </c>
      <c r="B15" s="30" t="inlineStr">
        <is>
          <t>資訊犯罪</t>
        </is>
      </c>
      <c r="C15" s="31" t="inlineStr">
        <is>
          <t>內部員工（劣質訓練、不滿、惡意、疏忽、被解雇）</t>
        </is>
      </c>
      <c r="D15" s="24" t="inlineStr">
        <is>
          <t>硬體篡改</t>
        </is>
      </c>
      <c r="E15" s="30" t="inlineStr">
        <is>
          <t>硬體篡改</t>
        </is>
      </c>
      <c r="F15" s="31" t="inlineStr">
        <is>
          <t>硬體篡改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</row>
    <row r="16">
      <c r="A16" s="24" t="inlineStr">
        <is>
          <t>破壞人員可用性</t>
        </is>
      </c>
      <c r="B16" s="30" t="inlineStr">
        <is>
          <t>恐怖分子</t>
        </is>
      </c>
      <c r="C16" s="31" t="inlineStr">
        <is>
          <t>空調或供水失能</t>
        </is>
      </c>
      <c r="D16" s="24" t="inlineStr">
        <is>
          <t>軟體系統篡改</t>
        </is>
      </c>
      <c r="E16" s="30" t="inlineStr">
        <is>
          <t>軟體系統篡改</t>
        </is>
      </c>
      <c r="F16" s="31" t="inlineStr">
        <is>
          <t>軟體系統篡改</t>
        </is>
      </c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</row>
    <row r="17">
      <c r="A17" s="24" t="inlineStr">
        <is>
          <t>駭客、 破密高手</t>
        </is>
      </c>
      <c r="B17" s="30" t="inlineStr">
        <is>
          <t>工商業業間諜活動</t>
        </is>
      </c>
      <c r="C17" s="31" t="inlineStr">
        <is>
          <t>電力喪失</t>
        </is>
      </c>
      <c r="D17" s="24" t="inlineStr">
        <is>
          <t>軟體或系統失效</t>
        </is>
      </c>
      <c r="E17" s="30" t="inlineStr">
        <is>
          <t>軟體或系統失效</t>
        </is>
      </c>
      <c r="F17" s="31" t="inlineStr">
        <is>
          <t>軟體或系統失效</t>
        </is>
      </c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</row>
    <row r="18">
      <c r="A18" s="24" t="inlineStr">
        <is>
          <t>資訊犯罪</t>
        </is>
      </c>
      <c r="B18" s="30" t="inlineStr">
        <is>
          <t>內部員工（劣質訓練、不滿、惡意、疏忽、被解雇）</t>
        </is>
      </c>
      <c r="C18" s="31" t="inlineStr">
        <is>
          <t>資訊或訊號截取</t>
        </is>
      </c>
      <c r="D18" s="24" t="inlineStr">
        <is>
          <t>未確保資訊系統的維護</t>
        </is>
      </c>
      <c r="E18" s="30" t="inlineStr">
        <is>
          <t>未確保資訊系統的維護</t>
        </is>
      </c>
      <c r="F18" s="31" t="inlineStr">
        <is>
          <t>未確保資訊系統的維護</t>
        </is>
      </c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</row>
    <row r="19">
      <c r="A19" s="24" t="inlineStr">
        <is>
          <t>恐怖分子</t>
        </is>
      </c>
      <c r="B19" s="30" t="inlineStr">
        <is>
          <t>設備或媒體毀壞</t>
        </is>
      </c>
      <c r="C19" s="31" t="inlineStr">
        <is>
          <t>遠端監控偵收</t>
        </is>
      </c>
      <c r="D19" s="24" t="inlineStr">
        <is>
          <t>擅自使用設備</t>
        </is>
      </c>
      <c r="E19" s="30" t="inlineStr">
        <is>
          <t>擅自使用設備</t>
        </is>
      </c>
      <c r="F19" s="31" t="inlineStr">
        <is>
          <t>設備失效</t>
        </is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</row>
    <row r="20">
      <c r="A20" s="24" t="inlineStr">
        <is>
          <t>工商業業間諜活動</t>
        </is>
      </c>
      <c r="B20" s="30" t="inlineStr">
        <is>
          <t>空調或供水失能</t>
        </is>
      </c>
      <c r="C20" s="31" t="inlineStr">
        <is>
          <t>竊取媒體或文件</t>
        </is>
      </c>
      <c r="D20" s="24" t="inlineStr">
        <is>
          <t>設備失效</t>
        </is>
      </c>
      <c r="E20" s="30" t="inlineStr">
        <is>
          <t>設備失效</t>
        </is>
      </c>
      <c r="F20" s="31" t="inlineStr">
        <is>
          <t>設備故障</t>
        </is>
      </c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</row>
    <row r="21" ht="30.75" customHeight="1">
      <c r="A21" s="24" t="inlineStr">
        <is>
          <t>內部員工（劣質訓練、不滿、惡意、疏忽、被解雇）</t>
        </is>
      </c>
      <c r="B21" s="30" t="inlineStr">
        <is>
          <t>電力喪失</t>
        </is>
      </c>
      <c r="C21" s="31" t="inlineStr">
        <is>
          <t>盜竊設備</t>
        </is>
      </c>
      <c r="D21" s="24" t="inlineStr">
        <is>
          <t>設備故障</t>
        </is>
      </c>
      <c r="E21" s="30" t="inlineStr">
        <is>
          <t>設備故障</t>
        </is>
      </c>
      <c r="F21" s="31" t="inlineStr">
        <is>
          <t>資訊系統的容量飽和</t>
        </is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</row>
    <row r="22">
      <c r="A22" s="26" t="n"/>
      <c r="B22" s="30" t="inlineStr">
        <is>
          <t>電磁輻射</t>
        </is>
      </c>
      <c r="C22" s="31" t="inlineStr">
        <is>
          <t>資訊洩露</t>
        </is>
      </c>
      <c r="D22" s="24" t="inlineStr">
        <is>
          <t>資訊系統的容量飽和</t>
        </is>
      </c>
      <c r="E22" s="30" t="inlineStr">
        <is>
          <t>資訊系統的容量飽和</t>
        </is>
      </c>
      <c r="F22" s="31" t="inlineStr">
        <is>
          <t>火災</t>
        </is>
      </c>
    </row>
    <row r="23">
      <c r="A23" s="26" t="n"/>
      <c r="B23" s="30" t="inlineStr">
        <is>
          <t>熱輻射</t>
        </is>
      </c>
      <c r="C23" s="31" t="inlineStr">
        <is>
          <t>硬體篡改</t>
        </is>
      </c>
      <c r="D23" s="24" t="inlineStr">
        <is>
          <t>火災</t>
        </is>
      </c>
      <c r="E23" s="30" t="inlineStr">
        <is>
          <t>火災</t>
        </is>
      </c>
      <c r="F23" s="31" t="inlineStr">
        <is>
          <t>水災</t>
        </is>
      </c>
    </row>
    <row r="24">
      <c r="A24" s="26" t="n"/>
      <c r="B24" s="30" t="inlineStr">
        <is>
          <t>電磁脈衝</t>
        </is>
      </c>
      <c r="C24" s="31" t="inlineStr">
        <is>
          <t>軟體系統篡改</t>
        </is>
      </c>
      <c r="D24" s="24" t="inlineStr">
        <is>
          <t>水災</t>
        </is>
      </c>
      <c r="E24" s="30" t="inlineStr">
        <is>
          <t>水災</t>
        </is>
      </c>
      <c r="F24" s="31" t="inlineStr">
        <is>
          <t>污染</t>
        </is>
      </c>
    </row>
    <row r="25">
      <c r="A25" s="26" t="n"/>
      <c r="B25" s="30" t="inlineStr">
        <is>
          <t>資訊或訊號截取</t>
        </is>
      </c>
      <c r="C25" s="31" t="inlineStr">
        <is>
          <t>軟體或系統失效</t>
        </is>
      </c>
      <c r="D25" s="24" t="inlineStr">
        <is>
          <t>污染</t>
        </is>
      </c>
      <c r="E25" s="30" t="inlineStr">
        <is>
          <t>污染</t>
        </is>
      </c>
      <c r="F25" s="31" t="inlineStr">
        <is>
          <t>重大安全事故</t>
        </is>
      </c>
    </row>
    <row r="26">
      <c r="A26" s="26" t="n"/>
      <c r="B26" s="30" t="inlineStr">
        <is>
          <t>遠端監控偵收</t>
        </is>
      </c>
      <c r="C26" s="31" t="inlineStr">
        <is>
          <t>未確保資訊系統的維護</t>
        </is>
      </c>
      <c r="D26" s="24" t="inlineStr">
        <is>
          <t>重大安全事故</t>
        </is>
      </c>
      <c r="E26" s="30" t="inlineStr">
        <is>
          <t>重大安全事故</t>
        </is>
      </c>
      <c r="F26" s="31" t="inlineStr">
        <is>
          <t>設備或媒體毀壞</t>
        </is>
      </c>
    </row>
    <row r="27">
      <c r="A27" s="26" t="n"/>
      <c r="B27" s="30" t="inlineStr">
        <is>
          <t>竊聽</t>
        </is>
      </c>
      <c r="C27" s="31" t="inlineStr">
        <is>
          <t>擅自使用設備</t>
        </is>
      </c>
      <c r="D27" s="24" t="inlineStr">
        <is>
          <t>設備或媒體毀壞</t>
        </is>
      </c>
      <c r="E27" s="30" t="inlineStr">
        <is>
          <t>設備或媒體毀壞</t>
        </is>
      </c>
      <c r="F27" s="31" t="inlineStr">
        <is>
          <t>電磁輻射</t>
        </is>
      </c>
    </row>
    <row r="28">
      <c r="A28" s="26" t="n"/>
      <c r="B28" s="30" t="inlineStr">
        <is>
          <t>竊取媒體或文件</t>
        </is>
      </c>
      <c r="C28" s="31" t="inlineStr">
        <is>
          <t>使用偽造或盜版軟體</t>
        </is>
      </c>
      <c r="D28" s="24" t="inlineStr">
        <is>
          <t>電磁輻射</t>
        </is>
      </c>
      <c r="E28" s="30" t="inlineStr">
        <is>
          <t>電磁輻射</t>
        </is>
      </c>
      <c r="F28" s="31" t="inlineStr">
        <is>
          <t>竊聽</t>
        </is>
      </c>
    </row>
    <row r="29">
      <c r="A29" s="26" t="n"/>
      <c r="B29" s="30" t="inlineStr">
        <is>
          <t>盜竊設備</t>
        </is>
      </c>
      <c r="C29" s="31" t="inlineStr">
        <is>
          <t>破壞人員可用性</t>
        </is>
      </c>
      <c r="D29" s="24" t="inlineStr">
        <is>
          <t>竊聽</t>
        </is>
      </c>
      <c r="E29" s="30" t="inlineStr">
        <is>
          <t>竊聽</t>
        </is>
      </c>
      <c r="F29" s="31" t="inlineStr">
        <is>
          <t>灰塵、腐蝕</t>
        </is>
      </c>
    </row>
    <row r="30">
      <c r="A30" s="26" t="n"/>
      <c r="B30" s="30" t="inlineStr">
        <is>
          <t>資訊洩露</t>
        </is>
      </c>
      <c r="C30" s="31" t="inlineStr">
        <is>
          <t>設備失效</t>
        </is>
      </c>
      <c r="D30" s="24" t="inlineStr">
        <is>
          <t>灰塵、腐蝕</t>
        </is>
      </c>
      <c r="E30" s="30" t="inlineStr">
        <is>
          <t>灰塵、腐蝕</t>
        </is>
      </c>
      <c r="F30" s="31" t="inlineStr">
        <is>
          <t>使用中的錯誤</t>
        </is>
      </c>
    </row>
    <row r="31">
      <c r="A31" s="26" t="n"/>
      <c r="B31" s="30" t="inlineStr">
        <is>
          <t>硬體篡改</t>
        </is>
      </c>
      <c r="C31" s="31" t="inlineStr">
        <is>
          <t>設備故障</t>
        </is>
      </c>
      <c r="D31" s="26" t="n"/>
      <c r="E31" s="26" t="n"/>
      <c r="F31" s="31" t="inlineStr">
        <is>
          <t>濫用職權</t>
        </is>
      </c>
    </row>
    <row r="32">
      <c r="A32" s="26" t="n"/>
      <c r="B32" s="30" t="inlineStr">
        <is>
          <t>軟體系統篡改</t>
        </is>
      </c>
      <c r="C32" s="31" t="inlineStr">
        <is>
          <t>資訊系統的容量飽和</t>
        </is>
      </c>
      <c r="D32" s="26" t="n"/>
      <c r="E32" s="26" t="n"/>
      <c r="F32" s="31" t="inlineStr">
        <is>
          <t>職權偽造</t>
        </is>
      </c>
    </row>
    <row r="33">
      <c r="A33" s="26" t="n"/>
      <c r="B33" s="30" t="inlineStr">
        <is>
          <t>軟體或系統失效</t>
        </is>
      </c>
      <c r="C33" s="31" t="inlineStr">
        <is>
          <t>否認行為</t>
        </is>
      </c>
      <c r="D33" s="26" t="n"/>
      <c r="E33" s="26" t="n"/>
      <c r="F33" s="31" t="inlineStr">
        <is>
          <t>資訊犯罪</t>
        </is>
      </c>
    </row>
    <row r="34">
      <c r="A34" s="26" t="n"/>
      <c r="B34" s="30" t="inlineStr">
        <is>
          <t>未確保資訊系統的維護</t>
        </is>
      </c>
      <c r="C34" s="26" t="n"/>
      <c r="D34" s="26" t="n"/>
      <c r="E34" s="26" t="n"/>
      <c r="F34" s="31" t="inlineStr">
        <is>
          <t>工商業業間諜活動</t>
        </is>
      </c>
    </row>
    <row r="35">
      <c r="A35" s="26" t="n"/>
      <c r="B35" s="30" t="inlineStr">
        <is>
          <t>內部員工（惡意、被解雇）</t>
        </is>
      </c>
      <c r="C35" s="26" t="n"/>
      <c r="D35" s="26" t="n"/>
      <c r="E35" s="26" t="n"/>
      <c r="F35" s="31" t="inlineStr">
        <is>
          <t>破壞人員可用性</t>
        </is>
      </c>
    </row>
    <row r="36">
      <c r="F36" s="32" t="n"/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工作表3">
    <outlinePr summaryBelow="1" summaryRight="1"/>
    <pageSetUpPr/>
  </sheetPr>
  <dimension ref="A1:F39"/>
  <sheetViews>
    <sheetView topLeftCell="C1" zoomScaleNormal="100" workbookViewId="0">
      <selection activeCell="D22" sqref="D22"/>
    </sheetView>
  </sheetViews>
  <sheetFormatPr baseColWidth="8" defaultColWidth="13.19921875" defaultRowHeight="16.15"/>
  <cols>
    <col width="39.46484375" customWidth="1" style="15" min="1" max="1"/>
    <col width="42.53125" customWidth="1" style="15" min="2" max="3"/>
    <col width="33.19921875" customWidth="1" style="15" min="4" max="4"/>
    <col width="37.19921875" customWidth="1" style="15" min="5" max="6"/>
    <col width="8" customWidth="1" style="15" min="7" max="10"/>
    <col width="13.19921875" customWidth="1" style="15" min="11" max="16384"/>
  </cols>
  <sheetData>
    <row r="1" ht="16.5" customHeight="1">
      <c r="A1" s="34" t="inlineStr">
        <is>
          <t>人員類威脅弱點</t>
        </is>
      </c>
      <c r="B1" s="35" t="inlineStr">
        <is>
          <t>資訊類威脅弱點</t>
        </is>
      </c>
      <c r="C1" s="36" t="inlineStr">
        <is>
          <t>通訊類威脅弱點</t>
        </is>
      </c>
      <c r="D1" s="34" t="inlineStr">
        <is>
          <t>軟體類威脅弱點</t>
        </is>
      </c>
      <c r="E1" s="35" t="inlineStr">
        <is>
          <t>硬體類威脅弱點</t>
        </is>
      </c>
      <c r="F1" s="36" t="inlineStr">
        <is>
          <t>環境類威脅弱點</t>
        </is>
      </c>
    </row>
    <row r="2" ht="16.5" customHeight="1">
      <c r="A2" s="37" t="inlineStr">
        <is>
          <t>未有適切保密協議簽署</t>
        </is>
      </c>
      <c r="B2" s="35" t="inlineStr">
        <is>
          <t>未有適切文件及紀錄之管控</t>
        </is>
      </c>
      <c r="C2" s="38" t="inlineStr">
        <is>
          <t>不足的維護或儲存媒體錯誤的安裝</t>
        </is>
      </c>
      <c r="D2" s="37" t="inlineStr">
        <is>
          <t>未有適切備援拷貝</t>
        </is>
      </c>
      <c r="E2" s="35" t="inlineStr">
        <is>
          <t>不足的維護或儲存媒體錯誤的安裝</t>
        </is>
      </c>
      <c r="F2" s="36" t="inlineStr">
        <is>
          <t>地勢過低，易有水患</t>
        </is>
      </c>
    </row>
    <row r="3" ht="16.5" customHeight="1">
      <c r="A3" s="37" t="inlineStr">
        <is>
          <t>未適切訂定新進人員招募要求</t>
        </is>
      </c>
      <c r="B3" s="35" t="inlineStr">
        <is>
          <t>未有適切實體保護</t>
        </is>
      </c>
      <c r="C3" s="38" t="inlineStr">
        <is>
          <t>未有適切使用軟體及〔或〕硬體</t>
        </is>
      </c>
      <c r="D3" s="37" t="inlineStr">
        <is>
          <t>未有適切有效變更控制</t>
        </is>
      </c>
      <c r="E3" s="35" t="inlineStr">
        <is>
          <t>未有適切使用軟體及〔或〕硬體</t>
        </is>
      </c>
      <c r="F3" s="36" t="inlineStr">
        <is>
          <t>未有適切設備維護保養服務</t>
        </is>
      </c>
    </row>
    <row r="4" ht="16.5" customHeight="1">
      <c r="A4" s="37" t="inlineStr">
        <is>
          <t>未有適切代理人機制</t>
        </is>
      </c>
      <c r="B4" s="35" t="inlineStr">
        <is>
          <t>未有適切備援拷貝</t>
        </is>
      </c>
      <c r="C4" s="38" t="inlineStr">
        <is>
          <t>未有適切的服務維護</t>
        </is>
      </c>
      <c r="D4" s="37" t="inlineStr">
        <is>
          <t>繁複的使用者介面</t>
        </is>
      </c>
      <c r="E4" s="35" t="inlineStr">
        <is>
          <t>未有適切的服務維護</t>
        </is>
      </c>
      <c r="F4" s="36" t="inlineStr">
        <is>
          <t>未有適切外來（清潔）人員工作監督</t>
        </is>
      </c>
    </row>
    <row r="5" ht="16.5" customHeight="1">
      <c r="A5" s="37" t="inlineStr">
        <is>
          <t>未建立代理人能力要求</t>
        </is>
      </c>
      <c r="B5" s="35" t="inlineStr">
        <is>
          <t>未有適切加密機制</t>
        </is>
      </c>
      <c r="C5" s="38" t="inlineStr">
        <is>
          <t>未有適切的網路管理</t>
        </is>
      </c>
      <c r="D5" s="37" t="inlineStr">
        <is>
          <t>未有適切的服務維護</t>
        </is>
      </c>
      <c r="E5" s="35" t="inlineStr">
        <is>
          <t>未有適切的存取控制</t>
        </is>
      </c>
      <c r="F5" s="36" t="inlineStr">
        <is>
          <t>未有適切或疏於使用實體進出管制</t>
        </is>
      </c>
    </row>
    <row r="6" ht="16.5" customHeight="1">
      <c r="A6" s="37" t="inlineStr">
        <is>
          <t>未有適切人員離職管制</t>
        </is>
      </c>
      <c r="B6" s="35" t="inlineStr">
        <is>
          <t>攜帶方便、易被拷貝</t>
        </is>
      </c>
      <c r="C6" s="38" t="inlineStr">
        <is>
          <t>未保護公眾網路連線</t>
        </is>
      </c>
      <c r="D6" s="37" t="inlineStr">
        <is>
          <t>未有適切稽核軌跡紀錄</t>
        </is>
      </c>
      <c r="E6" s="35" t="inlineStr">
        <is>
          <t>未有適切有效的建構變更控制</t>
        </is>
      </c>
      <c r="F6" s="36" t="inlineStr">
        <is>
          <t>未有適切的實體邊界規劃維護</t>
        </is>
      </c>
    </row>
    <row r="7" ht="16.5" customHeight="1">
      <c r="A7" s="37" t="inlineStr">
        <is>
          <t>未適切監督委外或清潔人員工作</t>
        </is>
      </c>
      <c r="B7" s="35" t="inlineStr">
        <is>
          <t>未有適切稽核軌跡紀錄保護</t>
        </is>
      </c>
      <c r="C7" s="38" t="inlineStr">
        <is>
          <t>未保護敏感性資訊流</t>
        </is>
      </c>
      <c r="D7" s="37" t="inlineStr">
        <is>
          <t>未有適切有效的建構變更控制</t>
        </is>
      </c>
      <c r="E7" s="35" t="inlineStr">
        <is>
          <t>未有適切監控〔monitoring〕機制</t>
        </is>
      </c>
      <c r="F7" s="36" t="inlineStr">
        <is>
          <t>未有適切溫溼度管控</t>
        </is>
      </c>
    </row>
    <row r="8" ht="16.5" customHeight="1">
      <c r="A8" s="37" t="inlineStr">
        <is>
          <t>適乏對人員使用通訊媒體和訊息管理政策</t>
        </is>
      </c>
      <c r="B8" s="35" t="inlineStr">
        <is>
          <t>未有適切稽核軌跡紀錄處理</t>
        </is>
      </c>
      <c r="C8" s="38" t="inlineStr">
        <is>
          <t>未保護通行碼資料表</t>
        </is>
      </c>
      <c r="D8" s="37" t="inlineStr">
        <is>
          <t>未有適切識別及鑑別機制〔如使用者鑑別〕</t>
        </is>
      </c>
      <c r="E8" s="35" t="inlineStr">
        <is>
          <t>未有適切的電源配置</t>
        </is>
      </c>
      <c r="F8" s="36" t="inlineStr">
        <is>
          <t>未有適切門禁管制</t>
        </is>
      </c>
    </row>
    <row r="9" ht="16.5" customHeight="1">
      <c r="A9" s="37" t="inlineStr">
        <is>
          <t>未正確使用軟體和硬體</t>
        </is>
      </c>
      <c r="B9" s="35" t="inlineStr">
        <is>
          <t>未有適切文件保護管制</t>
        </is>
      </c>
      <c r="C9" s="38" t="inlineStr">
        <is>
          <t>未控制通訊線路</t>
        </is>
      </c>
      <c r="D9" s="37" t="inlineStr">
        <is>
          <t>未有適切發送端與接收端識別及鑑別機制</t>
        </is>
      </c>
      <c r="E9" s="35" t="inlineStr">
        <is>
          <t>未有適切的備份機制</t>
        </is>
      </c>
      <c r="F9" s="36" t="inlineStr">
        <is>
          <t>未有適切資產管制</t>
        </is>
      </c>
    </row>
    <row r="10" ht="16.5" customHeight="1">
      <c r="A10" s="37" t="inlineStr">
        <is>
          <t>未有適切權限註冊和註銷管理程序</t>
        </is>
      </c>
      <c r="B10" s="35" t="inlineStr">
        <is>
          <t>未有適切儲存媒體保護</t>
        </is>
      </c>
      <c r="C10" s="38" t="inlineStr">
        <is>
          <t>未有適切的存取控制</t>
        </is>
      </c>
      <c r="D10" s="37" t="inlineStr">
        <is>
          <t>離開工作站沒有登出〔Logout〕</t>
        </is>
      </c>
      <c r="E10" s="35" t="inlineStr">
        <is>
          <t>未有適切的備援機制</t>
        </is>
      </c>
      <c r="F10" s="36" t="inlineStr">
        <is>
          <t>未有適切監控管制</t>
        </is>
      </c>
    </row>
    <row r="11" ht="16.5" customHeight="1">
      <c r="A11" s="37" t="inlineStr">
        <is>
          <t>未有適切權限註冊和註銷使用程序</t>
        </is>
      </c>
      <c r="B11" s="35" t="inlineStr">
        <is>
          <t>未有適切桌面浄空與畫面保護政策</t>
        </is>
      </c>
      <c r="C11" s="38" t="inlineStr">
        <is>
          <t>未有適切有效的建構變更控制</t>
        </is>
      </c>
      <c r="D11" s="37" t="inlineStr">
        <is>
          <t>沒有或不足的軟體測試</t>
        </is>
      </c>
      <c r="E11" s="35" t="inlineStr">
        <is>
          <t>未有適切的資產處置或報廢管理</t>
        </is>
      </c>
      <c r="F11" s="36" t="inlineStr">
        <is>
          <t>未有適切的消防設施</t>
        </is>
      </c>
    </row>
    <row r="12" ht="16.5" customHeight="1">
      <c r="A12" s="37" t="inlineStr">
        <is>
          <t>未有適切權限變更審查程序</t>
        </is>
      </c>
      <c r="B12" s="35" t="inlineStr">
        <is>
          <t>未有適切儲存媒體處置或報廢管制</t>
        </is>
      </c>
      <c r="C12" s="38" t="inlineStr">
        <is>
          <t>未有適切發送端與接收端識別及鑑別機制</t>
        </is>
      </c>
      <c r="D12" s="37" t="inlineStr">
        <is>
          <t>不良的通行碼〔password〕管理</t>
        </is>
      </c>
      <c r="E12" s="35" t="inlineStr">
        <is>
          <t>存在有單點失效〔Single point of failure〕</t>
        </is>
      </c>
      <c r="F12" s="36" t="inlineStr">
        <is>
          <t>未有適切的營運持續性規劃</t>
        </is>
      </c>
    </row>
    <row r="13" ht="16.5" customHeight="1">
      <c r="A13" s="37" t="inlineStr">
        <is>
          <t>未對客戶或第三方人員提供適切權限</t>
        </is>
      </c>
      <c r="B13" s="35" t="inlineStr">
        <is>
          <t>未有適切失效文件處置或報廢管制</t>
        </is>
      </c>
      <c r="C13" s="38" t="inlineStr">
        <is>
          <t>未有適切監控〔monitoring〕機制</t>
        </is>
      </c>
      <c r="D13" s="37" t="inlineStr">
        <is>
          <t>通行碼以明碼傳送</t>
        </is>
      </c>
      <c r="E13" s="35" t="inlineStr">
        <is>
          <t>未有適切的容量配置</t>
        </is>
      </c>
      <c r="F13" s="36" t="inlineStr">
        <is>
          <t>未有適切的電力（電源）管理</t>
        </is>
      </c>
    </row>
    <row r="14" ht="16.5" customHeight="1">
      <c r="A14" s="37" t="inlineStr">
        <is>
          <t>未有適切監督機制</t>
        </is>
      </c>
      <c r="B14" s="35" t="inlineStr">
        <is>
          <t>未有適切資訊複製管控</t>
        </is>
      </c>
      <c r="C14" s="38" t="inlineStr">
        <is>
          <t>未有適切稽核軌跡紀錄</t>
        </is>
      </c>
      <c r="D14" s="37" t="inlineStr">
        <is>
          <t>不明確或不完整的開發規格</t>
        </is>
      </c>
      <c r="E14" s="35" t="inlineStr">
        <is>
          <t>未有適切的作業系統</t>
        </is>
      </c>
      <c r="F14" s="36" t="inlineStr">
        <is>
          <t>未有適切的環境監控規劃管理</t>
        </is>
      </c>
    </row>
    <row r="15" ht="16.5" customHeight="1">
      <c r="A15" s="37" t="inlineStr">
        <is>
          <t>未依程序處理文件化資訊或資訊資產</t>
        </is>
      </c>
      <c r="B15" s="35" t="inlineStr">
        <is>
          <t>未有適切資訊分級</t>
        </is>
      </c>
      <c r="C15" s="38" t="inlineStr">
        <is>
          <t>未有適切識別及鑑別機制〔如使用者鑑別〕</t>
        </is>
      </c>
      <c r="D15" s="37" t="inlineStr">
        <is>
          <t>軟體的已知缺陷</t>
        </is>
      </c>
      <c r="E15" s="35" t="inlineStr">
        <is>
          <t>未有適切的特權管理</t>
        </is>
      </c>
      <c r="F15" s="38" t="inlineStr">
        <is>
          <t>不足或錯誤的操作知識</t>
        </is>
      </c>
    </row>
    <row r="16" ht="17.25" customHeight="1">
      <c r="A16" s="37" t="inlineStr">
        <is>
          <t>未有適切機敏資訊處理程序</t>
        </is>
      </c>
      <c r="B16" s="35" t="inlineStr">
        <is>
          <t>未有適切測試資料選用管制</t>
        </is>
      </c>
      <c r="C16" s="38" t="inlineStr">
        <is>
          <t>軟體的已知缺陷</t>
        </is>
      </c>
      <c r="D16" s="34" t="inlineStr">
        <is>
          <t>未有適切的惡意程式防護</t>
        </is>
      </c>
      <c r="E16" s="35" t="inlineStr">
        <is>
          <t>未有適切的維護商管理</t>
        </is>
      </c>
      <c r="F16" s="38" t="inlineStr">
        <is>
          <t>未有適切警示、監控機制</t>
        </is>
      </c>
    </row>
    <row r="17" ht="16.5" customHeight="1">
      <c r="A17" s="37" t="inlineStr">
        <is>
          <t>未在工作職掌中明確訂定資安責任</t>
        </is>
      </c>
      <c r="B17" s="35" t="inlineStr">
        <is>
          <t>未有適切加密金鑰使用或保護</t>
        </is>
      </c>
      <c r="C17" s="38" t="inlineStr">
        <is>
          <t>通行碼以明碼傳送</t>
        </is>
      </c>
      <c r="D17" s="37" t="inlineStr">
        <is>
          <t>未有適切安全性開發管理</t>
        </is>
      </c>
      <c r="E17" s="39" t="inlineStr">
        <is>
          <t>繁複的使用者介面</t>
        </is>
      </c>
      <c r="F17" s="38" t="inlineStr">
        <is>
          <t>不斷電系統容量不足</t>
        </is>
      </c>
    </row>
    <row r="18" ht="16.5" customHeight="1">
      <c r="A18" s="37" t="inlineStr">
        <is>
          <t>未有適切桌面和螢幕淨空政策</t>
        </is>
      </c>
      <c r="B18" s="35" t="inlineStr">
        <is>
          <t>未有適切資料輸入輸出檢查管制</t>
        </is>
      </c>
      <c r="C18" s="38" t="inlineStr">
        <is>
          <t>單點失效〔Single point of failure〕</t>
        </is>
      </c>
      <c r="D18" s="36" t="n"/>
      <c r="E18" s="39" t="inlineStr">
        <is>
          <t>未有適切稽核軌跡</t>
        </is>
      </c>
      <c r="F18" s="38" t="inlineStr">
        <is>
          <t>超出使用年限</t>
        </is>
      </c>
    </row>
    <row r="19" ht="16.5" customHeight="1">
      <c r="A19" s="37" t="inlineStr">
        <is>
          <t>未有適切對資安弱點報告機制</t>
        </is>
      </c>
      <c r="B19" s="35" t="inlineStr">
        <is>
          <t>未有適切軟體的下載與使用管制</t>
        </is>
      </c>
      <c r="C19" s="38" t="inlineStr">
        <is>
          <t>未有適切的電力（電壓）提供</t>
        </is>
      </c>
      <c r="D19" s="36" t="n"/>
      <c r="E19" s="39" t="inlineStr">
        <is>
          <t>未有適切的惡意程式防護</t>
        </is>
      </c>
      <c r="F19" s="38" t="inlineStr">
        <is>
          <t>未有適切的保養服務維護</t>
        </is>
      </c>
    </row>
    <row r="20" ht="17.25" customHeight="1">
      <c r="A20" s="37" t="inlineStr">
        <is>
          <t>未有適切工作上專業領域技能</t>
        </is>
      </c>
      <c r="B20" s="35" t="inlineStr">
        <is>
          <t>未有適切機密敏感性傳輸管制</t>
        </is>
      </c>
      <c r="C20" s="38" t="inlineStr">
        <is>
          <t>繁複的使用者介面</t>
        </is>
      </c>
      <c r="D20" s="36" t="n"/>
      <c r="E20" s="39" t="inlineStr">
        <is>
          <t>未有適切的存取管控</t>
        </is>
      </c>
      <c r="F20" s="38" t="inlineStr">
        <is>
          <t>未有適切備援拷貝管制</t>
        </is>
      </c>
    </row>
    <row r="21" ht="16.5" customHeight="1">
      <c r="A21" s="40" t="n"/>
      <c r="B21" s="35" t="inlineStr">
        <is>
          <t>未有適切定期進行備份回復測試</t>
        </is>
      </c>
      <c r="C21" s="38" t="inlineStr">
        <is>
          <t>未有適切的傳輸政策</t>
        </is>
      </c>
      <c r="D21" s="36" t="n"/>
      <c r="E21" s="39" t="inlineStr">
        <is>
          <t>未有適切的資產攜出入管制</t>
        </is>
      </c>
      <c r="F21" s="36" t="n"/>
    </row>
    <row r="22" ht="16.5" customHeight="1">
      <c r="A22" s="40" t="n"/>
      <c r="B22" s="35" t="inlineStr">
        <is>
          <t>備份回復程序不完整</t>
        </is>
      </c>
      <c r="C22" s="35" t="n"/>
      <c r="D22" s="36" t="n"/>
      <c r="E22" s="39" t="inlineStr">
        <is>
          <t>未有適切的系統更新機制</t>
        </is>
      </c>
      <c r="F22" s="36" t="n"/>
    </row>
    <row r="23" ht="17.25" customHeight="1">
      <c r="A23" s="40" t="n"/>
      <c r="B23" s="35" t="inlineStr">
        <is>
          <t>未有適切行動電腦的保護機制</t>
        </is>
      </c>
      <c r="C23" s="35" t="n"/>
      <c r="D23" s="36" t="n"/>
      <c r="E23" s="39" t="inlineStr">
        <is>
          <t>未有適切的資訊資料保護</t>
        </is>
      </c>
      <c r="F23" s="36" t="n"/>
    </row>
    <row r="24" ht="16.5" customHeight="1">
      <c r="A24" s="40" t="n"/>
      <c r="B24" s="35" t="inlineStr">
        <is>
          <t>未定期檢查使用者作業權限〔存取權限設定錯誤〕</t>
        </is>
      </c>
      <c r="C24" s="35" t="n"/>
      <c r="D24" s="36" t="n"/>
      <c r="E24" s="39" t="inlineStr">
        <is>
          <t>未有適切的網路連線</t>
        </is>
      </c>
      <c r="F24" s="36" t="n"/>
    </row>
    <row r="25" ht="17.25" customHeight="1">
      <c r="A25" s="40" t="n"/>
      <c r="B25" s="35" t="inlineStr">
        <is>
          <t>未定期檢視監控錄影系統</t>
        </is>
      </c>
      <c r="C25" s="35" t="n"/>
      <c r="D25" s="36" t="n"/>
      <c r="E25" s="39" t="inlineStr">
        <is>
          <t>未有適切的資產責任律定</t>
        </is>
      </c>
      <c r="F25" s="36" t="n"/>
    </row>
    <row r="26" ht="16.5" customHeight="1">
      <c r="A26" s="40" t="n"/>
      <c r="B26" s="35" t="inlineStr">
        <is>
          <t>未有適切對資料處理的驗證</t>
        </is>
      </c>
      <c r="C26" s="35" t="n"/>
      <c r="D26" s="36" t="n"/>
      <c r="E26" s="39" t="inlineStr">
        <is>
          <t>未有適切有效變更控制</t>
        </is>
      </c>
      <c r="F26" s="36" t="n"/>
    </row>
    <row r="27" ht="16.5" customHeight="1">
      <c r="A27" s="40" t="n"/>
      <c r="B27" s="35" t="inlineStr">
        <is>
          <t>人員離開座位時未登出或鎖定保護</t>
        </is>
      </c>
      <c r="C27" s="35" t="n"/>
      <c r="D27" s="36" t="n"/>
      <c r="E27" s="35" t="inlineStr">
        <is>
          <t>未有適切的加密機制</t>
        </is>
      </c>
      <c r="F27" s="36" t="n"/>
    </row>
    <row r="28" ht="17.25" customHeight="1">
      <c r="A28" s="40" t="n"/>
      <c r="B28" s="36" t="n"/>
      <c r="C28" s="36" t="n"/>
      <c r="D28" s="36" t="n"/>
      <c r="E28" s="35" t="inlineStr">
        <is>
          <t>未有適切的通行碼〔password〕管理</t>
        </is>
      </c>
      <c r="F28" s="36" t="n"/>
    </row>
    <row r="29" ht="16.5" customHeight="1">
      <c r="A29" s="40" t="n"/>
      <c r="B29" s="36" t="n"/>
      <c r="C29" s="36" t="n"/>
      <c r="D29" s="36" t="n"/>
      <c r="E29" s="35" t="inlineStr">
        <is>
          <t>對電壓變化敏感</t>
        </is>
      </c>
      <c r="F29" s="36" t="n"/>
    </row>
    <row r="30" ht="17.25" customHeight="1">
      <c r="A30" s="40" t="n"/>
      <c r="B30" s="36" t="n"/>
      <c r="C30" s="36" t="n"/>
      <c r="D30" s="36" t="n"/>
      <c r="E30" s="35" t="inlineStr">
        <is>
          <t>未有適切定期替換計畫〔schemes〕</t>
        </is>
      </c>
      <c r="F30" s="36" t="n"/>
    </row>
    <row r="31" ht="16.5" customHeight="1">
      <c r="A31" s="41" t="n"/>
    </row>
    <row r="32" ht="16.5" customHeight="1">
      <c r="A32" s="41" t="n"/>
    </row>
    <row r="33" ht="17.25" customHeight="1">
      <c r="A33" s="41" t="n"/>
    </row>
    <row r="34" ht="16.5" customHeight="1">
      <c r="A34" s="41" t="n"/>
    </row>
    <row r="35" ht="17.25" customHeight="1">
      <c r="A35" s="41" t="n"/>
    </row>
    <row r="36" ht="16.5" customHeight="1">
      <c r="A36" s="41" t="n"/>
    </row>
    <row r="37" ht="16.5" customHeight="1">
      <c r="A37" s="41" t="n"/>
    </row>
    <row r="38" ht="16.5" customHeight="1">
      <c r="A38" s="41" t="n"/>
    </row>
    <row r="39" ht="16.5" customHeight="1">
      <c r="A39" s="41" t="n"/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工作表4">
    <outlinePr summaryBelow="1" summaryRight="1"/>
    <pageSetUpPr/>
  </sheetPr>
  <dimension ref="A2:AG32"/>
  <sheetViews>
    <sheetView zoomScale="70" zoomScaleNormal="70" workbookViewId="0">
      <selection activeCell="I29" sqref="I29"/>
    </sheetView>
  </sheetViews>
  <sheetFormatPr baseColWidth="8" defaultColWidth="8.796875" defaultRowHeight="15"/>
  <cols>
    <col width="65.19921875" customWidth="1" style="42" min="1" max="1"/>
    <col width="8.796875" customWidth="1" style="42" min="2" max="2"/>
    <col width="11.46484375" customWidth="1" style="42" min="3" max="3"/>
    <col width="8.796875" customWidth="1" style="11" min="4" max="6"/>
    <col width="3.19921875" bestFit="1" customWidth="1" style="11" min="7" max="7"/>
    <col width="4.46484375" bestFit="1" customWidth="1" style="11" min="8" max="17"/>
    <col width="5.53125" bestFit="1" customWidth="1" style="11" min="18" max="33"/>
    <col width="8.796875" customWidth="1" style="11" min="34" max="16384"/>
  </cols>
  <sheetData>
    <row r="2" ht="16.5" customHeight="1" thickBot="1">
      <c r="A2" s="43" t="inlineStr">
        <is>
          <t>威脅發生機率評估標準</t>
        </is>
      </c>
    </row>
    <row r="3" ht="21" customHeight="1" thickBot="1">
      <c r="A3" s="44" t="inlineStr">
        <is>
          <t>評估標準</t>
        </is>
      </c>
      <c r="B3" s="45" t="inlineStr">
        <is>
          <t>等級</t>
        </is>
      </c>
      <c r="C3" s="45" t="inlineStr">
        <is>
          <t>評估值</t>
        </is>
      </c>
      <c r="E3" s="100" t="inlineStr">
        <is>
          <t>風險矩陣</t>
        </is>
      </c>
      <c r="F3" s="127" t="n"/>
      <c r="G3" s="127" t="n"/>
      <c r="H3" s="127" t="n"/>
      <c r="I3" s="127" t="n"/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27" t="n"/>
      <c r="AA3" s="127" t="n"/>
      <c r="AB3" s="127" t="n"/>
      <c r="AC3" s="127" t="n"/>
      <c r="AD3" s="127" t="n"/>
      <c r="AE3" s="127" t="n"/>
      <c r="AF3" s="127" t="n"/>
      <c r="AG3" s="128" t="n"/>
    </row>
    <row r="4" ht="16.5" customHeight="1" thickBot="1">
      <c r="A4" s="46" t="inlineStr">
        <is>
          <t>每年至少發生一次之可能性</t>
        </is>
      </c>
      <c r="B4" s="47" t="inlineStr">
        <is>
          <t>低</t>
        </is>
      </c>
      <c r="C4" s="48" t="n">
        <v>1</v>
      </c>
      <c r="E4" s="108" t="n"/>
      <c r="F4" s="55" t="inlineStr">
        <is>
          <t>威脅值</t>
        </is>
      </c>
      <c r="G4" s="129" t="inlineStr">
        <is>
          <t>1～3</t>
        </is>
      </c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  <c r="AB4" s="118" t="n"/>
      <c r="AC4" s="118" t="n"/>
      <c r="AD4" s="118" t="n"/>
      <c r="AE4" s="118" t="n"/>
      <c r="AF4" s="118" t="n"/>
      <c r="AG4" s="115" t="n"/>
    </row>
    <row r="5" ht="16.5" customHeight="1" thickBot="1">
      <c r="A5" s="46" t="inlineStr">
        <is>
          <t>每季至少發生一次之可能性</t>
        </is>
      </c>
      <c r="B5" s="47" t="inlineStr">
        <is>
          <t>中</t>
        </is>
      </c>
      <c r="C5" s="48" t="n">
        <v>2</v>
      </c>
      <c r="E5" s="130" t="n"/>
      <c r="F5" s="55" t="inlineStr">
        <is>
          <t>弱點值</t>
        </is>
      </c>
      <c r="G5" s="129" t="inlineStr">
        <is>
          <t>1～3</t>
        </is>
      </c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5" t="n"/>
    </row>
    <row r="6" ht="16.5" customHeight="1" thickBot="1">
      <c r="A6" s="46" t="inlineStr">
        <is>
          <t>每月至少發生一次之可能性</t>
        </is>
      </c>
      <c r="B6" s="47" t="inlineStr">
        <is>
          <t>高</t>
        </is>
      </c>
      <c r="C6" s="48" t="n">
        <v>3</v>
      </c>
      <c r="E6" s="130" t="n"/>
      <c r="F6" s="55" t="inlineStr">
        <is>
          <t>衝擊值</t>
        </is>
      </c>
      <c r="G6" s="129" t="inlineStr">
        <is>
          <t>1～3</t>
        </is>
      </c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8" t="n"/>
      <c r="Z6" s="118" t="n"/>
      <c r="AA6" s="118" t="n"/>
      <c r="AB6" s="118" t="n"/>
      <c r="AC6" s="118" t="n"/>
      <c r="AD6" s="118" t="n"/>
      <c r="AE6" s="118" t="n"/>
      <c r="AF6" s="118" t="n"/>
      <c r="AG6" s="115" t="n"/>
    </row>
    <row r="7" ht="15.4" customHeight="1">
      <c r="E7" s="131" t="n"/>
      <c r="F7" s="55" t="inlineStr">
        <is>
          <t>小計</t>
        </is>
      </c>
      <c r="G7" s="106" t="n">
        <v>1</v>
      </c>
      <c r="H7" s="106" t="n">
        <v>2</v>
      </c>
      <c r="I7" s="106" t="n">
        <v>3</v>
      </c>
      <c r="J7" s="106" t="n">
        <v>4</v>
      </c>
      <c r="K7" s="106" t="n">
        <v>5</v>
      </c>
      <c r="L7" s="106" t="n">
        <v>6</v>
      </c>
      <c r="M7" s="106" t="n">
        <v>7</v>
      </c>
      <c r="N7" s="106" t="n">
        <v>8</v>
      </c>
      <c r="O7" s="106" t="n">
        <v>9</v>
      </c>
      <c r="P7" s="106" t="n">
        <v>10</v>
      </c>
      <c r="Q7" s="106" t="n">
        <v>11</v>
      </c>
      <c r="R7" s="106" t="n">
        <v>12</v>
      </c>
      <c r="S7" s="106" t="n">
        <v>13</v>
      </c>
      <c r="T7" s="106" t="n">
        <v>14</v>
      </c>
      <c r="U7" s="106" t="n">
        <v>15</v>
      </c>
      <c r="V7" s="106" t="n">
        <v>16</v>
      </c>
      <c r="W7" s="106" t="n">
        <v>17</v>
      </c>
      <c r="X7" s="106" t="n">
        <v>18</v>
      </c>
      <c r="Y7" s="106" t="n">
        <v>19</v>
      </c>
      <c r="Z7" s="106" t="n">
        <v>20</v>
      </c>
      <c r="AA7" s="106" t="n">
        <v>21</v>
      </c>
      <c r="AB7" s="106" t="n">
        <v>22</v>
      </c>
      <c r="AC7" s="106" t="n">
        <v>23</v>
      </c>
      <c r="AD7" s="106" t="n">
        <v>24</v>
      </c>
      <c r="AE7" s="106" t="n">
        <v>25</v>
      </c>
      <c r="AF7" s="106" t="n">
        <v>26</v>
      </c>
      <c r="AG7" s="107" t="n">
        <v>27</v>
      </c>
    </row>
    <row r="8" ht="16.5" customHeight="1" thickBot="1">
      <c r="A8" s="43" t="inlineStr">
        <is>
          <t>弱點等級評估標準</t>
        </is>
      </c>
      <c r="E8" s="108" t="inlineStr">
        <is>
          <t>資產價值</t>
        </is>
      </c>
      <c r="F8" s="106" t="n">
        <v>1</v>
      </c>
      <c r="G8" s="58">
        <f>G$7*$F$8</f>
        <v/>
      </c>
      <c r="H8" s="58">
        <f>H$7*$F$8</f>
        <v/>
      </c>
      <c r="I8" s="58">
        <f>I$7*$F$8</f>
        <v/>
      </c>
      <c r="J8" s="58">
        <f>J$7*$F$8</f>
        <v/>
      </c>
      <c r="K8" s="58">
        <f>K$7*$F$8</f>
        <v/>
      </c>
      <c r="L8" s="58">
        <f>L$7*$F$8</f>
        <v/>
      </c>
      <c r="M8" s="58">
        <f>M$7*$F$8</f>
        <v/>
      </c>
      <c r="N8" s="58">
        <f>N$7*$F$8</f>
        <v/>
      </c>
      <c r="O8" s="58">
        <f>O$7*$F$8</f>
        <v/>
      </c>
      <c r="P8" s="58">
        <f>P$7*$F$8</f>
        <v/>
      </c>
      <c r="Q8" s="58">
        <f>Q$7*$F$8</f>
        <v/>
      </c>
      <c r="R8" s="58">
        <f>R$7*$F$8</f>
        <v/>
      </c>
      <c r="S8" s="58">
        <f>S$7*$F$8</f>
        <v/>
      </c>
      <c r="T8" s="58">
        <f>T$7*$F$8</f>
        <v/>
      </c>
      <c r="U8" s="58">
        <f>U$7*$F$8</f>
        <v/>
      </c>
      <c r="V8" s="58">
        <f>V$7*$F$8</f>
        <v/>
      </c>
      <c r="W8" s="58">
        <f>W$7*$F$8</f>
        <v/>
      </c>
      <c r="X8" s="58">
        <f>X$7*$F$8</f>
        <v/>
      </c>
      <c r="Y8" s="58">
        <f>Y$7*$F$8</f>
        <v/>
      </c>
      <c r="Z8" s="58">
        <f>Z$7*$F$8</f>
        <v/>
      </c>
      <c r="AA8" s="58">
        <f>AA$7*$F$8</f>
        <v/>
      </c>
      <c r="AB8" s="58">
        <f>AB$7*$F$8</f>
        <v/>
      </c>
      <c r="AC8" s="58">
        <f>AC$7*$F$8</f>
        <v/>
      </c>
      <c r="AD8" s="58">
        <f>AD$7*$F$8</f>
        <v/>
      </c>
      <c r="AE8" s="58">
        <f>AE$7*$F$8</f>
        <v/>
      </c>
      <c r="AF8" s="58">
        <f>AF$7*$F$8</f>
        <v/>
      </c>
      <c r="AG8" s="58">
        <f>AG$7*$F$8</f>
        <v/>
      </c>
    </row>
    <row r="9" ht="16.5" customHeight="1" thickBot="1">
      <c r="A9" s="44" t="inlineStr">
        <is>
          <t>評估標準</t>
        </is>
      </c>
      <c r="B9" s="45" t="inlineStr">
        <is>
          <t>等級</t>
        </is>
      </c>
      <c r="C9" s="45" t="inlineStr">
        <is>
          <t>評估值</t>
        </is>
      </c>
      <c r="E9" s="130" t="n"/>
      <c r="F9" s="106" t="n">
        <v>2</v>
      </c>
      <c r="G9" s="58">
        <f>G$7*$F$9</f>
        <v/>
      </c>
      <c r="H9" s="58">
        <f>H$7*$F$9</f>
        <v/>
      </c>
      <c r="I9" s="58">
        <f>I$7*$F$9</f>
        <v/>
      </c>
      <c r="J9" s="58">
        <f>J$7*$F$9</f>
        <v/>
      </c>
      <c r="K9" s="58">
        <f>K$7*$F$9</f>
        <v/>
      </c>
      <c r="L9" s="58">
        <f>L$7*$F$9</f>
        <v/>
      </c>
      <c r="M9" s="58">
        <f>M$7*$F$9</f>
        <v/>
      </c>
      <c r="N9" s="58">
        <f>N$7*$F$9</f>
        <v/>
      </c>
      <c r="O9" s="58">
        <f>O$7*$F$9</f>
        <v/>
      </c>
      <c r="P9" s="58">
        <f>P$7*$F$9</f>
        <v/>
      </c>
      <c r="Q9" s="58">
        <f>Q$7*$F$9</f>
        <v/>
      </c>
      <c r="R9" s="58">
        <f>R$7*$F$9</f>
        <v/>
      </c>
      <c r="S9" s="58">
        <f>S$7*$F$9</f>
        <v/>
      </c>
      <c r="T9" s="58">
        <f>T$7*$F$9</f>
        <v/>
      </c>
      <c r="U9" s="58">
        <f>U$7*$F$9</f>
        <v/>
      </c>
      <c r="V9" s="58">
        <f>V$7*$F$9</f>
        <v/>
      </c>
      <c r="W9" s="58">
        <f>W$7*$F$9</f>
        <v/>
      </c>
      <c r="X9" s="58">
        <f>X$7*$F$9</f>
        <v/>
      </c>
      <c r="Y9" s="58">
        <f>Y$7*$F$9</f>
        <v/>
      </c>
      <c r="Z9" s="58">
        <f>Z$7*$F$9</f>
        <v/>
      </c>
      <c r="AA9" s="58">
        <f>AA$7*$F$9</f>
        <v/>
      </c>
      <c r="AB9" s="58">
        <f>AB$7*$F$9</f>
        <v/>
      </c>
      <c r="AC9" s="58">
        <f>AC$7*$F$9</f>
        <v/>
      </c>
      <c r="AD9" s="58">
        <f>AD$7*$F$9</f>
        <v/>
      </c>
      <c r="AE9" s="58">
        <f>AE$7*$F$9</f>
        <v/>
      </c>
      <c r="AF9" s="58">
        <f>AF$7*$F$9</f>
        <v/>
      </c>
      <c r="AG9" s="58">
        <f>AG$7*$F$9</f>
        <v/>
      </c>
    </row>
    <row r="10" ht="16.5" customHeight="1" thickBot="1">
      <c r="A10" s="46" t="inlineStr">
        <is>
          <t>該弱點不容易被威脅利用</t>
        </is>
      </c>
      <c r="B10" s="47" t="inlineStr">
        <is>
          <t>低</t>
        </is>
      </c>
      <c r="C10" s="48" t="n">
        <v>1</v>
      </c>
      <c r="E10" s="130" t="n"/>
      <c r="F10" s="106" t="n">
        <v>3</v>
      </c>
      <c r="G10" s="58">
        <f>G$7*$F$10</f>
        <v/>
      </c>
      <c r="H10" s="58">
        <f>H$7*$F$10</f>
        <v/>
      </c>
      <c r="I10" s="58">
        <f>I$7*$F$10</f>
        <v/>
      </c>
      <c r="J10" s="58">
        <f>J$7*$F$10</f>
        <v/>
      </c>
      <c r="K10" s="58">
        <f>K$7*$F$10</f>
        <v/>
      </c>
      <c r="L10" s="58">
        <f>L$7*$F$10</f>
        <v/>
      </c>
      <c r="M10" s="58">
        <f>M$7*$F$10</f>
        <v/>
      </c>
      <c r="N10" s="58">
        <f>N$7*$F$10</f>
        <v/>
      </c>
      <c r="O10" s="58">
        <f>O$7*$F$10</f>
        <v/>
      </c>
      <c r="P10" s="58">
        <f>P$7*$F$10</f>
        <v/>
      </c>
      <c r="Q10" s="58">
        <f>Q$7*$F$10</f>
        <v/>
      </c>
      <c r="R10" s="58">
        <f>R$7*$F$10</f>
        <v/>
      </c>
      <c r="S10" s="58">
        <f>S$7*$F$10</f>
        <v/>
      </c>
      <c r="T10" s="58">
        <f>T$7*$F$10</f>
        <v/>
      </c>
      <c r="U10" s="58">
        <f>U$7*$F$10</f>
        <v/>
      </c>
      <c r="V10" s="58">
        <f>V$7*$F$10</f>
        <v/>
      </c>
      <c r="W10" s="58">
        <f>W$7*$F$10</f>
        <v/>
      </c>
      <c r="X10" s="58">
        <f>X$7*$F$10</f>
        <v/>
      </c>
      <c r="Y10" s="58">
        <f>Y$7*$F$10</f>
        <v/>
      </c>
      <c r="Z10" s="58">
        <f>Z$7*$F$10</f>
        <v/>
      </c>
      <c r="AA10" s="58">
        <f>AA$7*$F$10</f>
        <v/>
      </c>
      <c r="AB10" s="58">
        <f>AB$7*$F$10</f>
        <v/>
      </c>
      <c r="AC10" s="58">
        <f>AC$7*$F$10</f>
        <v/>
      </c>
      <c r="AD10" s="58">
        <f>AD$7*$F$10</f>
        <v/>
      </c>
      <c r="AE10" s="58">
        <f>AE$7*$F$10</f>
        <v/>
      </c>
      <c r="AF10" s="58">
        <f>AF$7*$F$10</f>
        <v/>
      </c>
      <c r="AG10" s="58">
        <f>AG$7*$F$10</f>
        <v/>
      </c>
    </row>
    <row r="11" ht="16.5" customHeight="1" thickBot="1">
      <c r="A11" s="46" t="inlineStr">
        <is>
          <t>該弱點容易被威脅利用</t>
        </is>
      </c>
      <c r="B11" s="47" t="inlineStr">
        <is>
          <t>中</t>
        </is>
      </c>
      <c r="C11" s="48" t="n">
        <v>2</v>
      </c>
      <c r="E11" s="130" t="n"/>
      <c r="F11" s="106" t="n">
        <v>4</v>
      </c>
      <c r="G11" s="58">
        <f>G$7*$F$11</f>
        <v/>
      </c>
      <c r="H11" s="58">
        <f>H$7*$F$11</f>
        <v/>
      </c>
      <c r="I11" s="58">
        <f>I$7*$F$11</f>
        <v/>
      </c>
      <c r="J11" s="58">
        <f>J$7*$F$11</f>
        <v/>
      </c>
      <c r="K11" s="58">
        <f>K$7*$F$11</f>
        <v/>
      </c>
      <c r="L11" s="58">
        <f>L$7*$F$11</f>
        <v/>
      </c>
      <c r="M11" s="58">
        <f>M$7*$F$11</f>
        <v/>
      </c>
      <c r="N11" s="58">
        <f>N$7*$F$11</f>
        <v/>
      </c>
      <c r="O11" s="58">
        <f>O$7*$F$11</f>
        <v/>
      </c>
      <c r="P11" s="58">
        <f>P$7*$F$11</f>
        <v/>
      </c>
      <c r="Q11" s="58">
        <f>Q$7*$F$11</f>
        <v/>
      </c>
      <c r="R11" s="58">
        <f>R$7*$F$11</f>
        <v/>
      </c>
      <c r="S11" s="58">
        <f>S$7*$F$11</f>
        <v/>
      </c>
      <c r="T11" s="58">
        <f>T$7*$F$11</f>
        <v/>
      </c>
      <c r="U11" s="58">
        <f>U$7*$F$11</f>
        <v/>
      </c>
      <c r="V11" s="58">
        <f>V$7*$F$11</f>
        <v/>
      </c>
      <c r="W11" s="58">
        <f>W$7*$F$11</f>
        <v/>
      </c>
      <c r="X11" s="58">
        <f>X$7*$F$11</f>
        <v/>
      </c>
      <c r="Y11" s="58">
        <f>Y$7*$F$11</f>
        <v/>
      </c>
      <c r="Z11" s="58">
        <f>Z$7*$F$11</f>
        <v/>
      </c>
      <c r="AA11" s="58">
        <f>AA$7*$F$11</f>
        <v/>
      </c>
      <c r="AB11" s="58">
        <f>AB$7*$F$11</f>
        <v/>
      </c>
      <c r="AC11" s="58">
        <f>AC$7*$F$11</f>
        <v/>
      </c>
      <c r="AD11" s="58">
        <f>AD$7*$F$11</f>
        <v/>
      </c>
      <c r="AE11" s="58">
        <f>AE$7*$F$11</f>
        <v/>
      </c>
      <c r="AF11" s="58">
        <f>AF$7*$F$11</f>
        <v/>
      </c>
      <c r="AG11" s="58">
        <f>AG$7*$F$11</f>
        <v/>
      </c>
    </row>
    <row r="12" ht="16.5" customHeight="1" thickBot="1">
      <c r="A12" s="46" t="inlineStr">
        <is>
          <t>該弱點非常容易被威脅利用</t>
        </is>
      </c>
      <c r="B12" s="47" t="inlineStr">
        <is>
          <t>高</t>
        </is>
      </c>
      <c r="C12" s="48" t="n">
        <v>3</v>
      </c>
      <c r="E12" s="130" t="n"/>
      <c r="F12" s="106" t="n">
        <v>5</v>
      </c>
      <c r="G12" s="58">
        <f>G$7*$F$12</f>
        <v/>
      </c>
      <c r="H12" s="58">
        <f>H$7*$F$12</f>
        <v/>
      </c>
      <c r="I12" s="58">
        <f>I$7*$F$12</f>
        <v/>
      </c>
      <c r="J12" s="58">
        <f>J$7*$F$12</f>
        <v/>
      </c>
      <c r="K12" s="58">
        <f>K$7*$F$12</f>
        <v/>
      </c>
      <c r="L12" s="58">
        <f>L$7*$F$12</f>
        <v/>
      </c>
      <c r="M12" s="58">
        <f>M$7*$F$12</f>
        <v/>
      </c>
      <c r="N12" s="58">
        <f>N$7*$F$12</f>
        <v/>
      </c>
      <c r="O12" s="58">
        <f>O$7*$F$12</f>
        <v/>
      </c>
      <c r="P12" s="58">
        <f>P$7*$F$12</f>
        <v/>
      </c>
      <c r="Q12" s="58">
        <f>Q$7*$F$12</f>
        <v/>
      </c>
      <c r="R12" s="58">
        <f>R$7*$F$12</f>
        <v/>
      </c>
      <c r="S12" s="58">
        <f>S$7*$F$12</f>
        <v/>
      </c>
      <c r="T12" s="58">
        <f>T$7*$F$12</f>
        <v/>
      </c>
      <c r="U12" s="58">
        <f>U$7*$F$12</f>
        <v/>
      </c>
      <c r="V12" s="58">
        <f>V$7*$F$12</f>
        <v/>
      </c>
      <c r="W12" s="58">
        <f>W$7*$F$12</f>
        <v/>
      </c>
      <c r="X12" s="58">
        <f>X$7*$F$12</f>
        <v/>
      </c>
      <c r="Y12" s="58">
        <f>Y$7*$F$12</f>
        <v/>
      </c>
      <c r="Z12" s="58">
        <f>Z$7*$F$12</f>
        <v/>
      </c>
      <c r="AA12" s="58">
        <f>AA$7*$F$12</f>
        <v/>
      </c>
      <c r="AB12" s="58">
        <f>AB$7*$F$12</f>
        <v/>
      </c>
      <c r="AC12" s="58">
        <f>AC$7*$F$12</f>
        <v/>
      </c>
      <c r="AD12" s="58">
        <f>AD$7*$F$12</f>
        <v/>
      </c>
      <c r="AE12" s="58">
        <f>AE$7*$F$12</f>
        <v/>
      </c>
      <c r="AF12" s="58">
        <f>AF$7*$F$12</f>
        <v/>
      </c>
      <c r="AG12" s="58">
        <f>AG$7*$F$12</f>
        <v/>
      </c>
    </row>
    <row r="13" ht="15.4" customHeight="1">
      <c r="E13" s="130" t="n"/>
      <c r="F13" s="106" t="n">
        <v>6</v>
      </c>
      <c r="G13" s="58">
        <f>G$7*$F$13</f>
        <v/>
      </c>
      <c r="H13" s="58">
        <f>H$7*$F$13</f>
        <v/>
      </c>
      <c r="I13" s="58">
        <f>I$7*$F$13</f>
        <v/>
      </c>
      <c r="J13" s="58">
        <f>J$7*$F$13</f>
        <v/>
      </c>
      <c r="K13" s="58">
        <f>K$7*$F$13</f>
        <v/>
      </c>
      <c r="L13" s="58">
        <f>L$7*$F$13</f>
        <v/>
      </c>
      <c r="M13" s="58">
        <f>M$7*$F$13</f>
        <v/>
      </c>
      <c r="N13" s="58">
        <f>N$7*$F$13</f>
        <v/>
      </c>
      <c r="O13" s="58">
        <f>O$7*$F$13</f>
        <v/>
      </c>
      <c r="P13" s="58">
        <f>P$7*$F$13</f>
        <v/>
      </c>
      <c r="Q13" s="58">
        <f>Q$7*$F$13</f>
        <v/>
      </c>
      <c r="R13" s="58">
        <f>R$7*$F$13</f>
        <v/>
      </c>
      <c r="S13" s="58">
        <f>S$7*$F$13</f>
        <v/>
      </c>
      <c r="T13" s="58">
        <f>T$7*$F$13</f>
        <v/>
      </c>
      <c r="U13" s="58">
        <f>U$7*$F$13</f>
        <v/>
      </c>
      <c r="V13" s="58">
        <f>V$7*$F$13</f>
        <v/>
      </c>
      <c r="W13" s="58">
        <f>W$7*$F$13</f>
        <v/>
      </c>
      <c r="X13" s="58">
        <f>X$7*$F$13</f>
        <v/>
      </c>
      <c r="Y13" s="58">
        <f>Y$7*$F$13</f>
        <v/>
      </c>
      <c r="Z13" s="58">
        <f>Z$7*$F$13</f>
        <v/>
      </c>
      <c r="AA13" s="58">
        <f>AA$7*$F$13</f>
        <v/>
      </c>
      <c r="AB13" s="58">
        <f>AB$7*$F$13</f>
        <v/>
      </c>
      <c r="AC13" s="58">
        <f>AC$7*$F$13</f>
        <v/>
      </c>
      <c r="AD13" s="58">
        <f>AD$7*$F$13</f>
        <v/>
      </c>
      <c r="AE13" s="58">
        <f>AE$7*$F$13</f>
        <v/>
      </c>
      <c r="AF13" s="58">
        <f>AF$7*$F$13</f>
        <v/>
      </c>
      <c r="AG13" s="58">
        <f>AG$7*$F$13</f>
        <v/>
      </c>
    </row>
    <row r="14" ht="15.4" customHeight="1">
      <c r="E14" s="130" t="n"/>
      <c r="F14" s="106" t="n">
        <v>7</v>
      </c>
      <c r="G14" s="58">
        <f>G$7*$F$14</f>
        <v/>
      </c>
      <c r="H14" s="58">
        <f>H$7*$F$14</f>
        <v/>
      </c>
      <c r="I14" s="58">
        <f>I$7*$F$14</f>
        <v/>
      </c>
      <c r="J14" s="58">
        <f>J$7*$F$14</f>
        <v/>
      </c>
      <c r="K14" s="58">
        <f>K$7*$F$14</f>
        <v/>
      </c>
      <c r="L14" s="58">
        <f>L$7*$F$14</f>
        <v/>
      </c>
      <c r="M14" s="58">
        <f>M$7*$F$14</f>
        <v/>
      </c>
      <c r="N14" s="58">
        <f>N$7*$F$14</f>
        <v/>
      </c>
      <c r="O14" s="58">
        <f>O$7*$F$14</f>
        <v/>
      </c>
      <c r="P14" s="58">
        <f>P$7*$F$14</f>
        <v/>
      </c>
      <c r="Q14" s="58">
        <f>Q$7*$F$14</f>
        <v/>
      </c>
      <c r="R14" s="58">
        <f>R$7*$F$14</f>
        <v/>
      </c>
      <c r="S14" s="58">
        <f>S$7*$F$14</f>
        <v/>
      </c>
      <c r="T14" s="58">
        <f>T$7*$F$14</f>
        <v/>
      </c>
      <c r="U14" s="58">
        <f>U$7*$F$14</f>
        <v/>
      </c>
      <c r="V14" s="58">
        <f>V$7*$F$14</f>
        <v/>
      </c>
      <c r="W14" s="58">
        <f>W$7*$F$14</f>
        <v/>
      </c>
      <c r="X14" s="58">
        <f>X$7*$F$14</f>
        <v/>
      </c>
      <c r="Y14" s="58">
        <f>Y$7*$F$14</f>
        <v/>
      </c>
      <c r="Z14" s="58">
        <f>Z$7*$F$14</f>
        <v/>
      </c>
      <c r="AA14" s="58">
        <f>AA$7*$F$14</f>
        <v/>
      </c>
      <c r="AB14" s="58">
        <f>AB$7*$F$14</f>
        <v/>
      </c>
      <c r="AC14" s="58">
        <f>AC$7*$F$14</f>
        <v/>
      </c>
      <c r="AD14" s="58">
        <f>AD$7*$F$14</f>
        <v/>
      </c>
      <c r="AE14" s="58">
        <f>AE$7*$F$14</f>
        <v/>
      </c>
      <c r="AF14" s="58">
        <f>AF$7*$F$14</f>
        <v/>
      </c>
      <c r="AG14" s="58">
        <f>AG$7*$F$14</f>
        <v/>
      </c>
    </row>
    <row r="15" ht="16.5" customHeight="1" thickBot="1">
      <c r="A15" s="43" t="inlineStr">
        <is>
          <t>衝擊等級評估標準</t>
        </is>
      </c>
      <c r="E15" s="130" t="n"/>
      <c r="F15" s="106" t="n">
        <v>8</v>
      </c>
      <c r="G15" s="58">
        <f>G$7*$F$15</f>
        <v/>
      </c>
      <c r="H15" s="58">
        <f>H$7*$F$15</f>
        <v/>
      </c>
      <c r="I15" s="58">
        <f>I$7*$F$15</f>
        <v/>
      </c>
      <c r="J15" s="58">
        <f>J$7*$F$15</f>
        <v/>
      </c>
      <c r="K15" s="58">
        <f>K$7*$F$15</f>
        <v/>
      </c>
      <c r="L15" s="58">
        <f>L$7*$F$15</f>
        <v/>
      </c>
      <c r="M15" s="58">
        <f>M$7*$F$15</f>
        <v/>
      </c>
      <c r="N15" s="58">
        <f>N$7*$F$15</f>
        <v/>
      </c>
      <c r="O15" s="58">
        <f>O$7*$F$15</f>
        <v/>
      </c>
      <c r="P15" s="58">
        <f>P$7*$F$15</f>
        <v/>
      </c>
      <c r="Q15" s="58">
        <f>Q$7*$F$15</f>
        <v/>
      </c>
      <c r="R15" s="58">
        <f>R$7*$F$15</f>
        <v/>
      </c>
      <c r="S15" s="58">
        <f>S$7*$F$15</f>
        <v/>
      </c>
      <c r="T15" s="58">
        <f>T$7*$F$15</f>
        <v/>
      </c>
      <c r="U15" s="58">
        <f>U$7*$F$15</f>
        <v/>
      </c>
      <c r="V15" s="58">
        <f>V$7*$F$15</f>
        <v/>
      </c>
      <c r="W15" s="58">
        <f>W$7*$F$15</f>
        <v/>
      </c>
      <c r="X15" s="58">
        <f>X$7*$F$15</f>
        <v/>
      </c>
      <c r="Y15" s="58">
        <f>Y$7*$F$15</f>
        <v/>
      </c>
      <c r="Z15" s="58">
        <f>Z$7*$F$15</f>
        <v/>
      </c>
      <c r="AA15" s="58">
        <f>AA$7*$F$15</f>
        <v/>
      </c>
      <c r="AB15" s="58">
        <f>AB$7*$F$15</f>
        <v/>
      </c>
      <c r="AC15" s="58">
        <f>AC$7*$F$15</f>
        <v/>
      </c>
      <c r="AD15" s="58">
        <f>AD$7*$F$15</f>
        <v/>
      </c>
      <c r="AE15" s="58">
        <f>AE$7*$F$15</f>
        <v/>
      </c>
      <c r="AF15" s="58">
        <f>AF$7*$F$15</f>
        <v/>
      </c>
      <c r="AG15" s="58">
        <f>AG$7*$F$15</f>
        <v/>
      </c>
    </row>
    <row r="16" ht="16.5" customHeight="1" thickBot="1">
      <c r="A16" s="54" t="inlineStr">
        <is>
          <t>評估標準</t>
        </is>
      </c>
      <c r="B16" s="49" t="inlineStr">
        <is>
          <t>等級</t>
        </is>
      </c>
      <c r="C16" s="49" t="inlineStr">
        <is>
          <t>評估值</t>
        </is>
      </c>
      <c r="E16" s="131" t="n"/>
      <c r="F16" s="59" t="n">
        <v>9</v>
      </c>
      <c r="G16" s="58">
        <f>G$7*$F$16</f>
        <v/>
      </c>
      <c r="H16" s="58">
        <f>H$7*$F$16</f>
        <v/>
      </c>
      <c r="I16" s="58">
        <f>I$7*$F$16</f>
        <v/>
      </c>
      <c r="J16" s="58">
        <f>J$7*$F$16</f>
        <v/>
      </c>
      <c r="K16" s="58">
        <f>K$7*$F$16</f>
        <v/>
      </c>
      <c r="L16" s="58">
        <f>L$7*$F$16</f>
        <v/>
      </c>
      <c r="M16" s="58">
        <f>M$7*$F$16</f>
        <v/>
      </c>
      <c r="N16" s="58">
        <f>N$7*$F$16</f>
        <v/>
      </c>
      <c r="O16" s="58">
        <f>O$7*$F$16</f>
        <v/>
      </c>
      <c r="P16" s="58">
        <f>P$7*$F$16</f>
        <v/>
      </c>
      <c r="Q16" s="58">
        <f>Q$7*$F$16</f>
        <v/>
      </c>
      <c r="R16" s="58">
        <f>R$7*$F$16</f>
        <v/>
      </c>
      <c r="S16" s="58">
        <f>S$7*$F$16</f>
        <v/>
      </c>
      <c r="T16" s="58">
        <f>T$7*$F$16</f>
        <v/>
      </c>
      <c r="U16" s="58">
        <f>U$7*$F$16</f>
        <v/>
      </c>
      <c r="V16" s="58">
        <f>V$7*$F$16</f>
        <v/>
      </c>
      <c r="W16" s="58">
        <f>W$7*$F$16</f>
        <v/>
      </c>
      <c r="X16" s="58">
        <f>X$7*$F$16</f>
        <v/>
      </c>
      <c r="Y16" s="58">
        <f>Y$7*$F$16</f>
        <v/>
      </c>
      <c r="Z16" s="58">
        <f>Z$7*$F$16</f>
        <v/>
      </c>
      <c r="AA16" s="58">
        <f>AA$7*$F$16</f>
        <v/>
      </c>
      <c r="AB16" s="58">
        <f>AB$7*$F$16</f>
        <v/>
      </c>
      <c r="AC16" s="58">
        <f>AC$7*$F$16</f>
        <v/>
      </c>
      <c r="AD16" s="58">
        <f>AD$7*$F$16</f>
        <v/>
      </c>
      <c r="AE16" s="58">
        <f>AE$7*$F$16</f>
        <v/>
      </c>
      <c r="AF16" s="58">
        <f>AF$7*$F$16</f>
        <v/>
      </c>
      <c r="AG16" s="58">
        <f>AG$7*$F$16</f>
        <v/>
      </c>
    </row>
    <row r="17" ht="16.15" customHeight="1">
      <c r="A17" s="50" t="inlineStr">
        <is>
          <t>1、對於公司整體業務執行影響不大或可忽略</t>
        </is>
      </c>
      <c r="B17" s="132" t="inlineStr">
        <is>
          <t>輕微</t>
        </is>
      </c>
      <c r="C17" s="133" t="n">
        <v>1</v>
      </c>
    </row>
    <row r="18" ht="16.15" customHeight="1">
      <c r="A18" s="53" t="inlineStr">
        <is>
          <t>2、造成危害可能僅影響單一業務或系統，或可以迅速復原</t>
        </is>
      </c>
      <c r="B18" s="134" t="n"/>
      <c r="C18" s="135" t="n"/>
    </row>
    <row r="19" ht="16.15" customHeight="1">
      <c r="A19" s="52" t="inlineStr">
        <is>
          <t>3、個人即可進行修復</t>
        </is>
      </c>
      <c r="B19" s="134" t="n"/>
      <c r="C19" s="135" t="n"/>
    </row>
    <row r="20" ht="16.5" customHeight="1" thickBot="1">
      <c r="A20" s="51" t="inlineStr">
        <is>
          <t>4、修復或進行復原的措施可以在很短時間(例：4小時)內完成</t>
        </is>
      </c>
      <c r="B20" s="136" t="n"/>
      <c r="C20" s="137" t="n"/>
    </row>
    <row r="21" ht="16.15" customHeight="1">
      <c r="A21" s="52" t="inlineStr">
        <is>
          <t>1、對於公司整體業務執行造成損害</t>
        </is>
      </c>
      <c r="B21" s="138" t="inlineStr">
        <is>
          <t>中度</t>
        </is>
      </c>
      <c r="C21" s="133" t="n">
        <v>2</v>
      </c>
    </row>
    <row r="22" ht="16.15" customHeight="1">
      <c r="A22" s="52" t="inlineStr">
        <is>
          <t>2、造成的損失可能影響多種業務或數個系統</t>
        </is>
      </c>
      <c r="B22" s="135" t="n"/>
      <c r="C22" s="135" t="n"/>
    </row>
    <row r="23" ht="16.15" customHeight="1">
      <c r="A23" s="52" t="inlineStr">
        <is>
          <t>3、損害範圍可能影響多個部門或合作夥伴</t>
        </is>
      </c>
      <c r="B23" s="135" t="n"/>
      <c r="C23" s="135" t="n"/>
    </row>
    <row r="24" ht="16.15" customHeight="1">
      <c r="A24" s="52" t="inlineStr">
        <is>
          <t>4、復原的措施必須由專業人員才能進行</t>
        </is>
      </c>
      <c r="B24" s="135" t="n"/>
      <c r="C24" s="135" t="n"/>
    </row>
    <row r="25" ht="16.5" customHeight="1" thickBot="1">
      <c r="A25" s="51" t="inlineStr">
        <is>
          <t>5、復原可能要數個小時~到一天才能完成</t>
        </is>
      </c>
      <c r="B25" s="137" t="n"/>
      <c r="C25" s="137" t="n"/>
    </row>
    <row r="26" ht="16.15" customHeight="1">
      <c r="A26" s="50" t="inlineStr">
        <is>
          <t>1、對公司整體業務執行造成嚴重損害;</t>
        </is>
      </c>
      <c r="B26" s="138" t="inlineStr">
        <is>
          <t>嚴重</t>
        </is>
      </c>
      <c r="C26" s="133" t="n">
        <v>3</v>
      </c>
    </row>
    <row r="27" ht="16.15" customHeight="1">
      <c r="A27" s="52" t="inlineStr">
        <is>
          <t>2、事件處理不當可能對公司形象造成損害;</t>
        </is>
      </c>
      <c r="B27" s="135" t="n"/>
      <c r="C27" s="135" t="n"/>
    </row>
    <row r="28" ht="16.15" customHeight="1">
      <c r="A28" s="52" t="inlineStr">
        <is>
          <t>3、造成的損害範圍可能影響全公司;</t>
        </is>
      </c>
      <c r="B28" s="135" t="n"/>
      <c r="C28" s="135" t="n"/>
    </row>
    <row r="29" ht="16.15" customHeight="1">
      <c r="A29" s="52" t="inlineStr">
        <is>
          <t>4、系統或相關服務停頓或癱瘓,業務無法運作;</t>
        </is>
      </c>
      <c r="B29" s="135" t="n"/>
      <c r="C29" s="135" t="n"/>
    </row>
    <row r="30" ht="16.15" customHeight="1">
      <c r="A30" s="52" t="inlineStr">
        <is>
          <t>5、合作夥伴或客戶失去信心;</t>
        </is>
      </c>
      <c r="B30" s="135" t="n"/>
      <c r="C30" s="135" t="n"/>
    </row>
    <row r="31" ht="16.15" customHeight="1">
      <c r="A31" s="52" t="inlineStr">
        <is>
          <t>6、復原措施僅能由特定專業人員才能進行或修復人員不易取得;</t>
        </is>
      </c>
      <c r="B31" s="135" t="n"/>
      <c r="C31" s="135" t="n"/>
    </row>
    <row r="32" ht="16.5" customHeight="1" thickBot="1">
      <c r="A32" s="51" t="inlineStr">
        <is>
          <t>7、可能造成人員傷亡</t>
        </is>
      </c>
      <c r="B32" s="137" t="n"/>
      <c r="C32" s="137" t="n"/>
    </row>
  </sheetData>
  <mergeCells count="12">
    <mergeCell ref="E4:E7"/>
    <mergeCell ref="C26:C32"/>
    <mergeCell ref="G4:AG4"/>
    <mergeCell ref="B21:B25"/>
    <mergeCell ref="B17:B20"/>
    <mergeCell ref="B26:B32"/>
    <mergeCell ref="C21:C25"/>
    <mergeCell ref="E8:E16"/>
    <mergeCell ref="C17:C20"/>
    <mergeCell ref="E3:AG3"/>
    <mergeCell ref="G6:AG6"/>
    <mergeCell ref="G5:AG5"/>
  </mergeCells>
  <conditionalFormatting sqref="G8:AG16">
    <cfRule type="cellIs" priority="1" operator="between" dxfId="2">
      <formula>161</formula>
      <formula>243</formula>
    </cfRule>
    <cfRule type="cellIs" priority="2" operator="between" dxfId="1">
      <formula>81</formula>
      <formula>160</formula>
    </cfRule>
    <cfRule type="cellIs" priority="3" operator="between" dxfId="0">
      <formula>1</formula>
      <formula>80</formula>
    </cfRule>
  </conditionalFormatting>
  <dataValidations disablePrompts="1" count="2">
    <dataValidation sqref="A2" showDropDown="0" showInputMessage="1" showErrorMessage="1" allowBlank="1" prompt="請輸入風險最大值(預設值為81)"/>
    <dataValidation sqref="B2" showDropDown="0" showInputMessage="1" showErrorMessage="1" allowBlank="1" prompt="請輸入風險最小值(預設值為3)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Wu</dc:creator>
  <dcterms:created xmlns:dcterms="http://purl.org/dc/terms/" xmlns:xsi="http://www.w3.org/2001/XMLSchema-instance" xsi:type="dcterms:W3CDTF">2010-11-18T03:27:18Z</dcterms:created>
  <dcterms:modified xmlns:dcterms="http://purl.org/dc/terms/" xmlns:xsi="http://www.w3.org/2001/XMLSchema-instance" xsi:type="dcterms:W3CDTF">2026-03-05T09:35:25Z</dcterms:modified>
  <cp:lastModifiedBy>良隆 葉</cp:lastModifiedBy>
  <cp:lastPrinted>2021-08-12T13:17:30Z</cp:lastPrinted>
</cp:coreProperties>
</file>